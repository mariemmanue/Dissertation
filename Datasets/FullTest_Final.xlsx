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marietano/projects/Big Diss/Dissertation/Datasets/"/>
    </mc:Choice>
  </mc:AlternateContent>
  <xr:revisionPtr revIDLastSave="0" documentId="13_ncr:1_{5462E796-9DD1-8042-8FB3-AB5B19141FBF}" xr6:coauthVersionLast="47" xr6:coauthVersionMax="47" xr10:uidLastSave="{00000000-0000-0000-0000-000000000000}"/>
  <bookViews>
    <workbookView xWindow="0" yWindow="600" windowWidth="15660" windowHeight="17400" xr2:uid="{00000000-000D-0000-FFFF-FFFF00000000}"/>
  </bookViews>
  <sheets>
    <sheet name="Gold" sheetId="1" r:id="rId1"/>
    <sheet name="BERT"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817" i="1" l="1" a="1"/>
  <c r="B817" i="1" s="1"/>
  <c r="B818" i="1" a="1"/>
  <c r="B818" i="1" s="1"/>
  <c r="B819" i="1" a="1"/>
  <c r="B819" i="1" s="1"/>
  <c r="B836" i="1" a="1"/>
  <c r="B836" i="1" s="1"/>
  <c r="B825" i="1" a="1"/>
  <c r="B825" i="1" s="1"/>
  <c r="B2" i="1" a="1"/>
  <c r="B2"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s="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s="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20" i="1" a="1"/>
  <c r="B820" i="1" s="1"/>
  <c r="B821" i="1" a="1"/>
  <c r="B821" i="1" s="1"/>
  <c r="B822" i="1" a="1"/>
  <c r="B822" i="1" s="1"/>
  <c r="B823" i="1" a="1"/>
  <c r="B823" i="1" s="1"/>
  <c r="B824" i="1" a="1"/>
  <c r="B824"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s="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<sst xmlns="http://schemas.openxmlformats.org/spreadsheetml/2006/main" count="2250" uniqueCount="1223">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</sst>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15" Type="http://schemas.openxmlformats.org/officeDocument/2006/relationships/styles" Target="styles.xml"/><Relationship Id="rId19" Type="http://schemas.openxmlformats.org/officeDocument/2006/relationships/customXml" Target="../customXml/item1.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50" workbookViewId="0">
      <pane xSplit="1" ySplit="1" topLeftCell="F902" activePane="bottomRight" state="frozen"/>
      <selection pane="topRight" activeCell="B1" sqref="B1"/>
      <selection pane="bottomLeft" activeCell="A2" sqref="A2"/>
      <selection pane="bottomRight" activeCell="I905" sqref="I905"/>
    </sheetView>
  </sheetViews>
  <sheetFormatPr baseColWidth="10" defaultColWidth="12.6640625" defaultRowHeight="13" x14ac:dyDescent="0.15"/>
  <cols>
    <col min="1" max="1" width="30.5" style="5" customWidth="1"/>
    <col min="2" max="2" width="58.5" bestFit="1"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zero-3sg-pres-s</v>
      </c>
      <c r="C35" s="1">
        <v>0</v>
      </c>
      <c r="D35" s="1">
        <v>0</v>
      </c>
      <c r="E35" s="1">
        <v>0</v>
      </c>
      <c r="F35" s="1">
        <v>0</v>
      </c>
      <c r="G35" s="1">
        <v>0</v>
      </c>
      <c r="H35" s="1">
        <v>0</v>
      </c>
      <c r="I35" s="1">
        <v>0</v>
      </c>
      <c r="J35" s="1">
        <v>0</v>
      </c>
      <c r="K35" s="1">
        <v>0</v>
      </c>
      <c r="L35" s="1">
        <v>0</v>
      </c>
      <c r="M35" s="1">
        <v>0</v>
      </c>
      <c r="N35" s="1">
        <v>0</v>
      </c>
      <c r="O35" s="1">
        <v>1</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 zero-rel-pronoun</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1</v>
      </c>
      <c r="AB40" s="1">
        <v>0</v>
      </c>
      <c r="AC40" s="1">
        <v>0</v>
      </c>
    </row>
    <row r="41" spans="1:29" ht="56" x14ac:dyDescent="0.15">
      <c r="A41" s="2" t="s">
        <v>65</v>
      </c>
      <c r="B41" s="1" t="str" cm="1">
        <f t="array" ref="B41">_xlfn.TEXTJOIN(", ", TRUE, IF(C41:AC41=1, C$1:AC$1, ""))</f>
        <v>existential-it</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1</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existential-it, zero-rel-pronoun</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1</v>
      </c>
      <c r="V55" s="1">
        <v>0</v>
      </c>
      <c r="W55" s="1">
        <v>0</v>
      </c>
      <c r="X55" s="1">
        <v>0</v>
      </c>
      <c r="Y55" s="1">
        <v>0</v>
      </c>
      <c r="Z55" s="1">
        <v>0</v>
      </c>
      <c r="AA55" s="1">
        <v>1</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zero-copula</v>
      </c>
      <c r="C66" s="1">
        <v>0</v>
      </c>
      <c r="D66" s="1">
        <v>1</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zero-poss</v>
      </c>
      <c r="C67" s="1">
        <v>1</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zero-rel-pronoun</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1</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past-tense-swap</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1</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zero-rel-pronoun</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1</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 zero-rel-pronoun</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1</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12" x14ac:dyDescent="0.15">
      <c r="A100" s="2" t="s">
        <v>124</v>
      </c>
      <c r="B100" s="1" t="str" cm="1">
        <f t="array" ref="B100">_xlfn.TEXTJOIN(", ", TRUE, IF(C100:AC100=1, C$1:AC$1, ""))</f>
        <v>zero-3sg-pres-s</v>
      </c>
      <c r="C100" s="1">
        <v>0</v>
      </c>
      <c r="D100" s="1">
        <v>0</v>
      </c>
      <c r="E100" s="1">
        <v>0</v>
      </c>
      <c r="F100" s="1">
        <v>0</v>
      </c>
      <c r="G100" s="1">
        <v>0</v>
      </c>
      <c r="H100" s="1">
        <v>0</v>
      </c>
      <c r="I100" s="1">
        <v>0</v>
      </c>
      <c r="J100" s="1">
        <v>0</v>
      </c>
      <c r="K100" s="1">
        <v>0</v>
      </c>
      <c r="L100" s="1">
        <v>0</v>
      </c>
      <c r="M100" s="1">
        <v>0</v>
      </c>
      <c r="N100" s="1">
        <v>0</v>
      </c>
      <c r="O100" s="1">
        <v>1</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multiple-neg</v>
      </c>
      <c r="C107" s="1">
        <v>0</v>
      </c>
      <c r="D107" s="1">
        <v>0</v>
      </c>
      <c r="E107" s="1">
        <v>0</v>
      </c>
      <c r="F107" s="1">
        <v>0</v>
      </c>
      <c r="G107" s="1">
        <v>0</v>
      </c>
      <c r="H107" s="1">
        <v>0</v>
      </c>
      <c r="I107" s="1">
        <v>0</v>
      </c>
      <c r="J107" s="1">
        <v>0</v>
      </c>
      <c r="K107" s="1">
        <v>1</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zero-rel-pronoun</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1</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existential-it</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1</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14"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70"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multiple-neg</v>
      </c>
      <c r="C159" s="1">
        <v>0</v>
      </c>
      <c r="D159" s="1">
        <v>0</v>
      </c>
      <c r="E159" s="1">
        <v>0</v>
      </c>
      <c r="F159" s="1">
        <v>0</v>
      </c>
      <c r="G159" s="1">
        <v>0</v>
      </c>
      <c r="H159" s="1">
        <v>0</v>
      </c>
      <c r="I159" s="1">
        <v>0</v>
      </c>
      <c r="J159" s="1">
        <v>0</v>
      </c>
      <c r="K159" s="1">
        <v>1</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zero-rel-pronoun</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1</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28"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zero-3sg-pres-s</v>
      </c>
      <c r="C297" s="1">
        <v>0</v>
      </c>
      <c r="D297" s="1">
        <v>0</v>
      </c>
      <c r="E297" s="1">
        <v>0</v>
      </c>
      <c r="F297" s="1">
        <v>0</v>
      </c>
      <c r="G297" s="1">
        <v>0</v>
      </c>
      <c r="H297" s="1">
        <v>0</v>
      </c>
      <c r="I297" s="1">
        <v>0</v>
      </c>
      <c r="J297" s="1">
        <v>0</v>
      </c>
      <c r="K297" s="1">
        <v>0</v>
      </c>
      <c r="L297" s="1">
        <v>0</v>
      </c>
      <c r="M297" s="1">
        <v>0</v>
      </c>
      <c r="N297" s="1">
        <v>0</v>
      </c>
      <c r="O297" s="1">
        <v>1</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42"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 appositive-pleonastic-pronoun</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1</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zero-rel-pronoun</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1</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56"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zero-rel-pronoun</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1</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 zero-rel-pronoun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1</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zero-poss</v>
      </c>
      <c r="C704" s="1">
        <v>1</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verb-stem</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1</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zero-3sg-pres-s, zero-pl-s, verb-stem</v>
      </c>
      <c r="C763" s="3">
        <v>0</v>
      </c>
      <c r="D763" s="3">
        <v>0</v>
      </c>
      <c r="E763" s="3">
        <v>0</v>
      </c>
      <c r="F763" s="3">
        <v>0</v>
      </c>
      <c r="G763" s="3">
        <v>0</v>
      </c>
      <c r="H763" s="3">
        <v>0</v>
      </c>
      <c r="I763" s="3">
        <v>0</v>
      </c>
      <c r="J763" s="3">
        <v>0</v>
      </c>
      <c r="K763" s="3">
        <v>0</v>
      </c>
      <c r="L763" s="3">
        <v>0</v>
      </c>
      <c r="M763" s="3">
        <v>0</v>
      </c>
      <c r="N763" s="3">
        <v>0</v>
      </c>
      <c r="O763" s="3">
        <v>1</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
      </c>
      <c r="C768" s="3">
        <v>0</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existential-it</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1</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past-tense-swap, preterite-had</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1</v>
      </c>
      <c r="AA784" s="3">
        <v>0</v>
      </c>
      <c r="AB784" s="3">
        <v>1</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appositive-pleonastic-pronoun</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1</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zero-3sg-pres-s, verb-stem</v>
      </c>
      <c r="C799" s="3">
        <v>0</v>
      </c>
      <c r="D799" s="3">
        <v>0</v>
      </c>
      <c r="E799" s="3">
        <v>0</v>
      </c>
      <c r="F799" s="3">
        <v>0</v>
      </c>
      <c r="G799" s="3">
        <v>0</v>
      </c>
      <c r="H799" s="3">
        <v>0</v>
      </c>
      <c r="I799" s="3">
        <v>0</v>
      </c>
      <c r="J799" s="3">
        <v>0</v>
      </c>
      <c r="K799" s="3">
        <v>0</v>
      </c>
      <c r="L799" s="3">
        <v>0</v>
      </c>
      <c r="M799" s="3">
        <v>0</v>
      </c>
      <c r="N799" s="3">
        <v>0</v>
      </c>
      <c r="O799" s="3">
        <v>1</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0</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verb-stem</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1</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preterite-had</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0</v>
      </c>
      <c r="AA842" s="3">
        <v>0</v>
      </c>
      <c r="AB842" s="3">
        <v>1</v>
      </c>
      <c r="AC842" s="3">
        <v>0</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verb-stem</v>
      </c>
      <c r="C854" s="3">
        <v>0</v>
      </c>
      <c r="D854" s="3">
        <v>0</v>
      </c>
      <c r="E854" s="3">
        <v>0</v>
      </c>
      <c r="F854" s="3">
        <v>0</v>
      </c>
      <c r="G854" s="3">
        <v>0</v>
      </c>
      <c r="H854" s="3">
        <v>0</v>
      </c>
      <c r="I854" s="3">
        <v>0</v>
      </c>
      <c r="J854" s="3">
        <v>0</v>
      </c>
      <c r="K854" s="3">
        <v>0</v>
      </c>
      <c r="L854" s="3">
        <v>0</v>
      </c>
      <c r="M854" s="3">
        <v>0</v>
      </c>
      <c r="N854" s="3">
        <v>0</v>
      </c>
      <c r="O854" s="3">
        <v>0</v>
      </c>
      <c r="P854" s="3">
        <v>0</v>
      </c>
      <c r="Q854" s="3">
        <v>0</v>
      </c>
      <c r="R854" s="3">
        <v>0</v>
      </c>
      <c r="S854" s="3">
        <v>0</v>
      </c>
      <c r="T854" s="3">
        <v>0</v>
      </c>
      <c r="U854" s="3">
        <v>0</v>
      </c>
      <c r="V854" s="3">
        <v>0</v>
      </c>
      <c r="W854" s="3">
        <v>0</v>
      </c>
      <c r="X854" s="3">
        <v>0</v>
      </c>
      <c r="Y854" s="3">
        <v>1</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zero-rel-pronoun</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1</v>
      </c>
      <c r="AB865" s="3">
        <v>0</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is-was-gen, verb-stem</v>
      </c>
      <c r="C868" s="3">
        <v>0</v>
      </c>
      <c r="D868" s="3">
        <v>0</v>
      </c>
      <c r="E868" s="3">
        <v>0</v>
      </c>
      <c r="F868" s="3">
        <v>0</v>
      </c>
      <c r="G868" s="3">
        <v>0</v>
      </c>
      <c r="H868" s="3">
        <v>0</v>
      </c>
      <c r="I868" s="3">
        <v>0</v>
      </c>
      <c r="J868" s="3">
        <v>0</v>
      </c>
      <c r="K868" s="3">
        <v>0</v>
      </c>
      <c r="L868" s="3">
        <v>0</v>
      </c>
      <c r="M868" s="3">
        <v>0</v>
      </c>
      <c r="N868" s="3">
        <v>0</v>
      </c>
      <c r="O868" s="3">
        <v>0</v>
      </c>
      <c r="P868" s="3">
        <v>1</v>
      </c>
      <c r="Q868" s="3">
        <v>0</v>
      </c>
      <c r="R868" s="3">
        <v>0</v>
      </c>
      <c r="S868" s="3">
        <v>0</v>
      </c>
      <c r="T868" s="3">
        <v>0</v>
      </c>
      <c r="U868" s="3">
        <v>0</v>
      </c>
      <c r="V868" s="3">
        <v>0</v>
      </c>
      <c r="W868" s="3">
        <v>0</v>
      </c>
      <c r="X868" s="3">
        <v>0</v>
      </c>
      <c r="Y868" s="3">
        <v>1</v>
      </c>
      <c r="Z868" s="3">
        <v>0</v>
      </c>
      <c r="AA868" s="3">
        <v>0</v>
      </c>
      <c r="AB868" s="3">
        <v>0</v>
      </c>
      <c r="AC868" s="3">
        <v>0</v>
      </c>
    </row>
    <row r="869" spans="1:29" ht="28" x14ac:dyDescent="0.15">
      <c r="A869" s="2" t="s">
        <v>884</v>
      </c>
      <c r="B869" s="1" t="str" cm="1">
        <f t="array" ref="B869">_xlfn.TEXTJOIN(", ", TRUE, IF(C869:AC869=1, C$1:AC$1, ""))</f>
        <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0</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0</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28" x14ac:dyDescent="0.15">
      <c r="A885" s="5" t="s">
        <v>868</v>
      </c>
      <c r="B885" s="1" t="str" cm="1">
        <f t="array" ref="B885">_xlfn.TEXTJOIN(", ", TRUE, IF(C885:AC885=1, C$1:AC$1, ""))</f>
        <v>zero-copula</v>
      </c>
      <c r="C885" s="3">
        <v>0</v>
      </c>
      <c r="D885" s="3">
        <v>1</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0</v>
      </c>
      <c r="AC890" s="3">
        <v>0</v>
      </c>
    </row>
    <row r="891" spans="1:29" ht="28" x14ac:dyDescent="0.15">
      <c r="A891" s="2" t="s">
        <v>862</v>
      </c>
      <c r="B891" s="1" t="str" cm="1">
        <f t="array" ref="B891">_xlfn.TEXTJOIN(", ", TRUE, IF(C891:AC891=1, C$1:AC$1, ""))</f>
        <v>zero-copula, verb-stem</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1</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zero-copula, wh-qu1</v>
      </c>
      <c r="C900" s="3">
        <v>0</v>
      </c>
      <c r="D900" s="3">
        <v>1</v>
      </c>
      <c r="E900" s="3">
        <v>0</v>
      </c>
      <c r="F900" s="3">
        <v>0</v>
      </c>
      <c r="G900" s="3">
        <v>0</v>
      </c>
      <c r="H900" s="3">
        <v>0</v>
      </c>
      <c r="I900" s="3">
        <v>0</v>
      </c>
      <c r="J900" s="3">
        <v>0</v>
      </c>
      <c r="K900" s="3">
        <v>0</v>
      </c>
      <c r="L900" s="3">
        <v>0</v>
      </c>
      <c r="M900" s="3">
        <v>0</v>
      </c>
      <c r="N900" s="3">
        <v>0</v>
      </c>
      <c r="O900" s="3">
        <v>0</v>
      </c>
      <c r="P900" s="3">
        <v>0</v>
      </c>
      <c r="Q900" s="3">
        <v>0</v>
      </c>
      <c r="R900" s="3">
        <v>0</v>
      </c>
      <c r="S900" s="3">
        <v>1</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past-tense-swap</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1</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preterite-had</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0</v>
      </c>
      <c r="AA909" s="3">
        <v>0</v>
      </c>
      <c r="AB909" s="3">
        <v>1</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0</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past-tense-swap, 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1</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zero-copula, multiple-neg</v>
      </c>
      <c r="C935" s="3">
        <v>0</v>
      </c>
      <c r="D935" s="3">
        <v>1</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 appositive-pleonastic-pronoun</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1</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appositive-pleonastic-pronoun</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1</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wh-qu2</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1</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zero-rel-pronoun</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0</v>
      </c>
      <c r="Z973" s="3">
        <v>0</v>
      </c>
      <c r="AA973" s="3">
        <v>1</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existential-it</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1</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past-tense-swap</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1</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past-tense-swap</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1</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 zero-rel-pronoun</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1</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v>
      </c>
      <c r="C998" s="3">
        <v>0</v>
      </c>
      <c r="D998" s="3">
        <v>0</v>
      </c>
      <c r="E998" s="3">
        <v>0</v>
      </c>
      <c r="F998" s="3">
        <v>0</v>
      </c>
      <c r="G998" s="3">
        <v>0</v>
      </c>
      <c r="H998" s="3">
        <v>0</v>
      </c>
      <c r="I998" s="3">
        <v>0</v>
      </c>
      <c r="J998" s="3">
        <v>0</v>
      </c>
      <c r="K998" s="3">
        <v>0</v>
      </c>
      <c r="L998" s="3">
        <v>0</v>
      </c>
      <c r="M998" s="3">
        <v>0</v>
      </c>
      <c r="N998" s="3">
        <v>0</v>
      </c>
      <c r="O998" s="3">
        <v>1</v>
      </c>
      <c r="P998" s="3">
        <v>0</v>
      </c>
      <c r="Q998" s="3">
        <v>0</v>
      </c>
      <c r="R998" s="3">
        <v>0</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bare-got</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1</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C37" sqref="C37"/>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Gold</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2026-02-25T20:52:00Z</dcterms:modified>
</cp:coreProperties>
</file>