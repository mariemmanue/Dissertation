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FD12B051-0902-5449-B477-E74430A15A23}" xr6:coauthVersionLast="47" xr6:coauthVersionMax="47" xr10:uidLastSave="{00000000-0000-0000-0000-000000000000}"/>
  <bookViews>
    <workbookView xWindow="4320" yWindow="620" windowWidth="24480" windowHeight="15860" activeTab="3" xr2:uid="{E98D4AC7-EE56-3049-B2B3-6A027E81FFB0}"/>
  </bookViews>
  <sheets>
    <sheet name="Gold" sheetId="13" r:id="rId1"/>
    <sheet name="BERT" sheetId="14" r:id="rId2"/>
    <sheet name="Exp1-COT" sheetId="10" r:id="rId3"/>
    <sheet name="Exp2-CO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" i="13" l="1" a="1"/>
  <c r="B116" i="13" s="1"/>
  <c r="B115" i="13" a="1"/>
  <c r="B115" i="13" s="1"/>
  <c r="B114" i="13" a="1"/>
  <c r="B114" i="13" s="1"/>
  <c r="B113" i="13" a="1"/>
  <c r="B113" i="13" s="1"/>
  <c r="B112" i="13" a="1"/>
  <c r="B112" i="13" s="1"/>
  <c r="B111" i="13" a="1"/>
  <c r="B111" i="13" s="1"/>
  <c r="B110" i="13" a="1"/>
  <c r="B110" i="13" s="1"/>
  <c r="B109" i="13" a="1"/>
  <c r="B109" i="13" s="1"/>
  <c r="B108" i="13" a="1"/>
  <c r="B108" i="13" s="1"/>
  <c r="B107" i="13" a="1"/>
  <c r="B107" i="13" s="1"/>
  <c r="B106" i="13" a="1"/>
  <c r="B106" i="13" s="1"/>
  <c r="B105" i="13" a="1"/>
  <c r="B105" i="13" s="1"/>
  <c r="B104" i="13" a="1"/>
  <c r="B104" i="13" s="1"/>
  <c r="B103" i="13" a="1"/>
  <c r="B103" i="13" s="1"/>
  <c r="B102" i="13" a="1"/>
  <c r="B102" i="13" s="1"/>
  <c r="B101" i="13" a="1"/>
  <c r="B101" i="13" s="1"/>
  <c r="B100" i="13" a="1"/>
  <c r="B100" i="13" s="1"/>
  <c r="B99" i="13" a="1"/>
  <c r="B99" i="13" s="1"/>
  <c r="B98" i="13" a="1"/>
  <c r="B98" i="13" s="1"/>
  <c r="B97" i="13" a="1"/>
  <c r="B97" i="13" s="1"/>
  <c r="B96" i="13" a="1"/>
  <c r="B96" i="13" s="1"/>
  <c r="B95" i="13" a="1"/>
  <c r="B95" i="13" s="1"/>
  <c r="B94" i="13" a="1"/>
  <c r="B94" i="13" s="1"/>
  <c r="B93" i="13" a="1"/>
  <c r="B93" i="13" s="1"/>
  <c r="B92" i="13" a="1"/>
  <c r="B92" i="13" s="1"/>
  <c r="B91" i="13" a="1"/>
  <c r="B91" i="13" s="1"/>
  <c r="B90" i="13" a="1"/>
  <c r="B90" i="13" s="1"/>
  <c r="B89" i="13" a="1"/>
  <c r="B89" i="13" s="1"/>
  <c r="B88" i="13" a="1"/>
  <c r="B88" i="13" s="1"/>
  <c r="B87" i="13" a="1"/>
  <c r="B87" i="13" s="1"/>
  <c r="B86" i="13" a="1"/>
  <c r="B86" i="13" s="1"/>
  <c r="B85" i="13" a="1"/>
  <c r="B85" i="13" s="1"/>
  <c r="B84" i="13" a="1"/>
  <c r="B84" i="13" s="1"/>
  <c r="B83" i="13" a="1"/>
  <c r="B83" i="13" s="1"/>
  <c r="B82" i="13" a="1"/>
  <c r="B82" i="13" s="1"/>
  <c r="B81" i="13" a="1"/>
  <c r="B81" i="13" s="1"/>
  <c r="B80" i="13" a="1"/>
  <c r="B80" i="13" s="1"/>
  <c r="B79" i="13" a="1"/>
  <c r="B79" i="13" s="1"/>
  <c r="B78" i="13" a="1"/>
  <c r="B78" i="13" s="1"/>
  <c r="B77" i="13" a="1"/>
  <c r="B77" i="13" s="1"/>
  <c r="B76" i="13" a="1"/>
  <c r="B76" i="13" s="1"/>
  <c r="B75" i="13" a="1"/>
  <c r="B75" i="13" s="1"/>
  <c r="B74" i="13" a="1"/>
  <c r="B74" i="13" s="1"/>
  <c r="B73" i="13" a="1"/>
  <c r="B73" i="13" s="1"/>
  <c r="B72" i="13" a="1"/>
  <c r="B72" i="13" s="1"/>
  <c r="B71" i="13" a="1"/>
  <c r="B71" i="13" s="1"/>
  <c r="B70" i="13" a="1"/>
  <c r="B70" i="13" s="1"/>
  <c r="B69" i="13" a="1"/>
  <c r="B69" i="13" s="1"/>
  <c r="B68" i="13" a="1"/>
  <c r="B68" i="13" s="1"/>
  <c r="B67" i="13" a="1"/>
  <c r="B67" i="13" s="1"/>
  <c r="B66" i="13" a="1"/>
  <c r="B66" i="13" s="1"/>
  <c r="B65" i="13" a="1"/>
  <c r="B65" i="13" s="1"/>
  <c r="B64" i="13" a="1"/>
  <c r="B64" i="13" s="1"/>
  <c r="B63" i="13" a="1"/>
  <c r="B63" i="13" s="1"/>
  <c r="B62" i="13" a="1"/>
  <c r="B62" i="13" s="1"/>
  <c r="B61" i="13" a="1"/>
  <c r="B61" i="13" s="1"/>
  <c r="B60" i="13" a="1"/>
  <c r="B60" i="13" s="1"/>
  <c r="B59" i="13" a="1"/>
  <c r="B59" i="13" s="1"/>
  <c r="B58" i="13" a="1"/>
  <c r="B58" i="13" s="1"/>
  <c r="B57" i="13" a="1"/>
  <c r="B57" i="13" s="1"/>
  <c r="B56" i="13" a="1"/>
  <c r="B56" i="13" s="1"/>
  <c r="B55" i="13" a="1"/>
  <c r="B55" i="13" s="1"/>
  <c r="B54" i="13" a="1"/>
  <c r="B54" i="13" s="1"/>
  <c r="B53" i="13" a="1"/>
  <c r="B53" i="13" s="1"/>
  <c r="B52" i="13" a="1"/>
  <c r="B52" i="13" s="1"/>
  <c r="B51" i="13" a="1"/>
  <c r="B51" i="13" s="1"/>
  <c r="B50" i="13" a="1"/>
  <c r="B50" i="13" s="1"/>
  <c r="B49" i="13" a="1"/>
  <c r="B49" i="13" s="1"/>
  <c r="B48" i="13" a="1"/>
  <c r="B48" i="13" s="1"/>
  <c r="B47" i="13" a="1"/>
  <c r="B47" i="13" s="1"/>
  <c r="B46" i="13" a="1"/>
  <c r="B46" i="13" s="1"/>
  <c r="B45" i="13" a="1"/>
  <c r="B45" i="13" s="1"/>
  <c r="B44" i="13" a="1"/>
  <c r="B44" i="13" s="1"/>
  <c r="B43" i="13" a="1"/>
  <c r="B43" i="13" s="1"/>
  <c r="B42" i="13" a="1"/>
  <c r="B42" i="13" s="1"/>
  <c r="B41" i="13" a="1"/>
  <c r="B41" i="13" s="1"/>
  <c r="B40" i="13" a="1"/>
  <c r="B40" i="13" s="1"/>
  <c r="B39" i="13" a="1"/>
  <c r="B39" i="13" s="1"/>
  <c r="B38" i="13" a="1"/>
  <c r="B38" i="13" s="1"/>
  <c r="B37" i="13" a="1"/>
  <c r="B37" i="13" s="1"/>
  <c r="B36" i="13" a="1"/>
  <c r="B36" i="13" s="1"/>
  <c r="B35" i="13" a="1"/>
  <c r="B35" i="13" s="1"/>
  <c r="B34" i="13" a="1"/>
  <c r="B34" i="13" s="1"/>
  <c r="B33" i="13" a="1"/>
  <c r="B33" i="13" s="1"/>
  <c r="B32" i="13" a="1"/>
  <c r="B32" i="13" s="1"/>
  <c r="B31" i="13" a="1"/>
  <c r="B31" i="13" s="1"/>
  <c r="B30" i="13" a="1"/>
  <c r="B30" i="13" s="1"/>
  <c r="B29" i="13" a="1"/>
  <c r="B29" i="13" s="1"/>
  <c r="B28" i="13" a="1"/>
  <c r="B28" i="13" s="1"/>
  <c r="B27" i="13" a="1"/>
  <c r="B27" i="13" s="1"/>
  <c r="B26" i="13" a="1"/>
  <c r="B26" i="13" s="1"/>
  <c r="B25" i="13" a="1"/>
  <c r="B25" i="13" s="1"/>
  <c r="B24" i="13" a="1"/>
  <c r="B24" i="13" s="1"/>
  <c r="B23" i="13" a="1"/>
  <c r="B23" i="13" s="1"/>
  <c r="B22" i="13" a="1"/>
  <c r="B22" i="13" s="1"/>
  <c r="B21" i="13" a="1"/>
  <c r="B21" i="13" s="1"/>
  <c r="B20" i="13" a="1"/>
  <c r="B20" i="13" s="1"/>
  <c r="B19" i="13" a="1"/>
  <c r="B19" i="13" s="1"/>
  <c r="B18" i="13" a="1"/>
  <c r="B18" i="13" s="1"/>
  <c r="B17" i="13" a="1"/>
  <c r="B17" i="13" s="1"/>
  <c r="B16" i="13" a="1"/>
  <c r="B16" i="13" s="1"/>
  <c r="B15" i="13" a="1"/>
  <c r="B15" i="13" s="1"/>
  <c r="B14" i="13" a="1"/>
  <c r="B14" i="13" s="1"/>
  <c r="B13" i="13" a="1"/>
  <c r="B13" i="13" s="1"/>
  <c r="B12" i="13" a="1"/>
  <c r="B12" i="13" s="1"/>
  <c r="B11" i="13" a="1"/>
  <c r="B11" i="13" s="1"/>
  <c r="B10" i="13" a="1"/>
  <c r="B10" i="13" s="1"/>
  <c r="B9" i="13" a="1"/>
  <c r="B9" i="13" s="1"/>
  <c r="B8" i="13" a="1"/>
  <c r="B8" i="13" s="1"/>
  <c r="B7" i="13" a="1"/>
  <c r="B7" i="13" s="1"/>
  <c r="B6" i="13" a="1"/>
  <c r="B6" i="13" s="1"/>
  <c r="B5" i="13" a="1"/>
  <c r="B5" i="13" s="1"/>
  <c r="B4" i="13" a="1"/>
  <c r="B4" i="13" s="1"/>
  <c r="B3" i="13" a="1"/>
  <c r="B3" i="13" s="1"/>
  <c r="B2" i="13" a="1"/>
  <c r="B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<sst xmlns="http://schemas.openxmlformats.org/spreadsheetml/2006/main" count="560" uniqueCount="195">
  <si>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</si>
  <si>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</si>
  <si>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</si>
  <si>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</si>
  <si>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</si>
  <si>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</si>
  <si>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</si>
  <si>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</si>
  <si>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</si>
  <si>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</si>
  <si>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</si>
  <si>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</si>
  <si>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</si>
  <si>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</si>
  <si>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</si>
  <si>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</si>
  <si>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</si>
  <si>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</si>
  <si>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</si>
  <si>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</si>
  <si>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</si>
  <si>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</si>
  <si>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</si>
  <si>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</si>
  <si>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</si>
  <si>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</si>
  <si>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</si>
  <si>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</si>
  <si>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Bruce ain’t taking calculus this semester.</t>
  </si>
  <si>
    <t>She be telling people she eight.</t>
  </si>
  <si>
    <t>During the summer, they go off for two weeks, so her checks be big</t>
  </si>
  <si>
    <t>She gotta be there for 9, so they be done gone to school</t>
  </si>
  <si>
    <t>It don’t be drove hardly. It don’t be dogged. I grease it and oil it.</t>
  </si>
  <si>
    <t>That’s how they be</t>
  </si>
  <si>
    <t>No, that’s how it be at Wal-Mart</t>
  </si>
  <si>
    <t>They probably be up there laughing.</t>
  </si>
  <si>
    <t>I sure hope it don’t be no leak after I finish.</t>
  </si>
  <si>
    <t>Those pancakes do be gorgeous.</t>
  </si>
  <si>
    <t>Sometimes I have spells. Lately I be having more spells.</t>
  </si>
  <si>
    <t>I been knowing he died.</t>
  </si>
  <si>
    <t>I been give Brenda and Mr. Al they books.</t>
  </si>
  <si>
    <t>I told him you done changed.</t>
  </si>
  <si>
    <t>She done been to church.</t>
  </si>
  <si>
    <t>Yeah, when it come on there, we be done read it in the newspaper</t>
  </si>
  <si>
    <t>When I change the oil, I like to see how much it be done burned.</t>
  </si>
  <si>
    <t>Anybody who don’t have no money and just be done got paid, must be on drugs.</t>
  </si>
  <si>
    <t>He been done put that in there.</t>
  </si>
  <si>
    <t>Your phone bill be high, don’t it?</t>
  </si>
  <si>
    <t>Will they be done finished that by then</t>
  </si>
  <si>
    <t>They been left, ain’t they?</t>
  </si>
  <si>
    <t>Do they be pretty?</t>
  </si>
  <si>
    <t>Sometime they do, and sometime they don’t. I just tell ’em ALL they pretty.</t>
  </si>
  <si>
    <t>I really don’t be feeling too good.</t>
  </si>
  <si>
    <t>That’s all a mind game. That DO NOT be working.</t>
  </si>
  <si>
    <t>She done died, ain’t she?</t>
  </si>
  <si>
    <t>They finna do something.</t>
  </si>
  <si>
    <t xml:space="preserve">Oh-oh they pulling they coats off. </t>
  </si>
  <si>
    <t>That mean they fixna kill us or something.</t>
  </si>
  <si>
    <t>She was finna move the mattress herself when I got there.</t>
  </si>
  <si>
    <t>They be finna go to bed when I call there.</t>
  </si>
  <si>
    <t>You the one come telling me it’s hot. I can’t believe you got your coat on.</t>
  </si>
  <si>
    <t>They come walking in here like they was gon’ make us change our minds.</t>
  </si>
  <si>
    <t>I sure hope it don’t be no leak after they finish.</t>
  </si>
  <si>
    <t>If you don’t do nothing but farm work, your social security don’t be nothing</t>
  </si>
  <si>
    <t>Shouldn’t be nothing happening you don’t know about.</t>
  </si>
  <si>
    <t>Do anybody want to go to the movies?</t>
  </si>
  <si>
    <t>It’s some coffee in the kitchen.</t>
  </si>
  <si>
    <t>It be too many cars in that parking lot.</t>
  </si>
  <si>
    <t>Let’s stand; it might be somebody who need to say yes to Jesus.</t>
  </si>
  <si>
    <t>It’s a lot of people backstage who say they ready to come out and wreck shop.</t>
  </si>
  <si>
    <t>If you still sittin down by the end of this song, it’s something wrong with you</t>
  </si>
  <si>
    <t>You know her name?</t>
  </si>
  <si>
    <t>He sleeping in the car?</t>
  </si>
  <si>
    <t>Do it be dark?</t>
  </si>
  <si>
    <t>What we gon get out the deal since we left everything?</t>
  </si>
  <si>
    <t>Why y’all want to treat me like this?</t>
  </si>
  <si>
    <t>Why they ain’t growing?</t>
  </si>
  <si>
    <t>Why those people don’t want to take that car?</t>
  </si>
  <si>
    <t>How you knew I was here?</t>
  </si>
  <si>
    <t>How long do you be out of school</t>
  </si>
  <si>
    <t>Y’all seen how fast Jane had ran across the street?</t>
  </si>
  <si>
    <t>I be told in my sleep to go to church.</t>
  </si>
  <si>
    <t>That’s really all that’s important, that he come around and bes with us.</t>
  </si>
  <si>
    <t>They be mad at me cause when the news come on, they got to get up.</t>
  </si>
  <si>
    <t>Sometime Rolanda bed don’t be made up.</t>
  </si>
  <si>
    <t>I always get bites cause we be hanging out at my mama house.</t>
  </si>
  <si>
    <t>Don’t nobody listen to the five o’clock news.</t>
  </si>
  <si>
    <t>I ain’t gon buy nothing for no classes now.</t>
  </si>
  <si>
    <t>I done forgot my hat.</t>
  </si>
  <si>
    <t>I cook a mess of greens.</t>
  </si>
  <si>
    <t>Was they ready when you got there?</t>
  </si>
  <si>
    <t>They had done went home</t>
  </si>
  <si>
    <t>You gon be done forgot.</t>
  </si>
  <si>
    <t>Y’all done ate breakfast?</t>
  </si>
  <si>
    <t>If they get a DVD player, they be happy</t>
  </si>
  <si>
    <t>The man hat was old</t>
  </si>
  <si>
    <t>We’d be done gone and fell out.</t>
  </si>
  <si>
    <t>He got no patience for nothing</t>
  </si>
  <si>
    <t>He might could do the work</t>
  </si>
  <si>
    <t>He might could go</t>
  </si>
  <si>
    <t>Bruce drunk the chocolate milk last night.</t>
  </si>
  <si>
    <t>Half of them things be showed on tv don’t be happening.</t>
  </si>
  <si>
    <t>The teacher think the students be playing in class, and be playing in class they do</t>
  </si>
  <si>
    <t>It’s nobody walk that hard</t>
  </si>
  <si>
    <t>We talked about this last year. That’s the test I had failed.</t>
  </si>
  <si>
    <t>I had went to the city last night and the only Affirm they had was super, so I didn’t get it.</t>
  </si>
  <si>
    <t>We got one girl be here every night</t>
  </si>
  <si>
    <t>You’re the one ain’t got no church.</t>
  </si>
  <si>
    <t>It’s a whole lot of people don’ wanna go to hell</t>
  </si>
  <si>
    <t>The coach wondered would the team win</t>
  </si>
  <si>
    <t>We on our way to Oklahoma.We trying to see can we work out March</t>
  </si>
  <si>
    <t>He had called me Wednesday afternoon and asked, “Do you want to go the movies” . . . so I gets in the car.</t>
  </si>
  <si>
    <t>I wonder whether the game gon start late</t>
  </si>
  <si>
    <t>So, hey, this is my home, home where- this where I was born.</t>
  </si>
  <si>
    <t>The inside box with the coffin what sits down in the grave</t>
  </si>
  <si>
    <t>So, sometime you see it looking bright</t>
  </si>
  <si>
    <t>He the man who go to college in New York</t>
  </si>
  <si>
    <t>That picture of a man with no fingers ain’t gonna win no photography competition</t>
  </si>
  <si>
    <t>That’s the man come here the other day.</t>
  </si>
  <si>
    <t>Could we might do it now?</t>
  </si>
  <si>
    <t>He doesn’t even allow women to wear pants at women’s retreats and he doesn’t even be there.</t>
  </si>
  <si>
    <t>When I have done come; when I have done sung my last song, prayed my last prayer . . . meet me at the Jordan River.</t>
  </si>
  <si>
    <t>It had some breaded chicken sticks. They had some good French fries, too</t>
  </si>
  <si>
    <t>When he come down here, I be done talked to him.</t>
  </si>
  <si>
    <t>Nobody don’t be there when it throw water everywhere?</t>
  </si>
  <si>
    <t>If they wanna go out and do something else with it, that they business</t>
  </si>
  <si>
    <t>Mrs. Marple ain’t done sung in that classroom.</t>
  </si>
  <si>
    <t>lll be done bought my own waitin’ on him to buy me one.</t>
  </si>
  <si>
    <t>She ain't but three years old</t>
  </si>
  <si>
    <t>We been done ate breakfast!</t>
  </si>
  <si>
    <t>The way the world going and the way people is acting, I don’t know, it don’t seem like half of them believe in any God.</t>
  </si>
  <si>
    <t>They want to do they own thing, and you steady talking to them kids</t>
  </si>
  <si>
    <t xml:space="preserve">Carl, you know what I notice about this? When it be making ice, a lot of water fall in it. </t>
  </si>
  <si>
    <t>Bruce, he eating, ain’t he?</t>
  </si>
  <si>
    <t>The devil, he haves us in a state of sin.</t>
  </si>
  <si>
    <t>Sheila, she going to that place that pay better</t>
  </si>
  <si>
    <t>Candy she go over there every time she come, if he be done cooked.</t>
  </si>
  <si>
    <t>They ain’t pay me for two day that I had took.</t>
  </si>
  <si>
    <t>What they was doing? Catching worm or something?</t>
  </si>
  <si>
    <t>I ain’t never seen nobody preach under them announcement.</t>
  </si>
  <si>
    <t>Once you put your hand on the plow, you can’t be looking back, cause you be done dug up something else</t>
  </si>
  <si>
    <t>Boy, I make any kind of move, this boy be done shot me.</t>
  </si>
  <si>
    <t>Once you put your hand on the plow, you can’t be looking back, cause you be done
dug up something else</t>
  </si>
  <si>
    <t>ÔªøBruce ain‚Äôt taking calculus this semester.</t>
  </si>
  <si>
    <t>Bruce, he eating, ain‚Äôt he?</t>
  </si>
  <si>
    <t>He doesn‚Äôt even allow women to wear pants at women‚Äôs retreats and he doesn‚Äôt even be there.</t>
  </si>
  <si>
    <t>It don‚Äôt be drove hardly. It don‚Äôt be dogged. I grease it and oil it.</t>
  </si>
  <si>
    <t>That‚Äôs how they be</t>
  </si>
  <si>
    <t>No, that‚Äôs how it be at Wal-Mart</t>
  </si>
  <si>
    <t>I sure hope it don‚Äôt be no leak after I finish.</t>
  </si>
  <si>
    <t>Anybody who don‚Äôt have no money and just be done got paid, must be on drugs.</t>
  </si>
  <si>
    <t>Once you put your hand on the plow, you can‚Äôt be looking back, cause you be done dug up something else</t>
  </si>
  <si>
    <t>Your phone bill be high, don‚Äôt it?</t>
  </si>
  <si>
    <t>They been left, ain‚Äôt they?</t>
  </si>
  <si>
    <t>Sometime they do, and sometime they don‚Äôt. I just tell ‚Äôem ALL they pretty.</t>
  </si>
  <si>
    <t>I really don‚Äôt be feeling too good.</t>
  </si>
  <si>
    <t>That‚Äôs all a mind game. That DO NOT be working.</t>
  </si>
  <si>
    <t>She done died, ain‚Äôt she?</t>
  </si>
  <si>
    <t>Oh-oh they pulling they coats off.</t>
  </si>
  <si>
    <t>You the one come telling me it‚Äôs hot. I can‚Äôt believe you got your coat on.</t>
  </si>
  <si>
    <t>They come walking in here like they was gon‚Äô make us change our minds.</t>
  </si>
  <si>
    <t>I sure hope it don‚Äôt be no leak after they finish.</t>
  </si>
  <si>
    <t>If you don‚Äôt do nothing but farm work, your social security don‚Äôt be nothing</t>
  </si>
  <si>
    <t>I ain‚Äôt never seen nobody preach under them announcement.</t>
  </si>
  <si>
    <t>Shouldn‚Äôt be nothing happening you don‚Äôt know about.</t>
  </si>
  <si>
    <t>It‚Äôs some coffee in the kitchen.</t>
  </si>
  <si>
    <t>Let‚Äôs stand; it might be somebody who need to say yes to Jesus.</t>
  </si>
  <si>
    <t>It‚Äôs a lot of people backstage who say they ready to come out and wreck shop.</t>
  </si>
  <si>
    <t>If you still sittin down by the end of this song, it‚Äôs something wrong with you</t>
  </si>
  <si>
    <t>Why y‚Äôall want to treat me like this?</t>
  </si>
  <si>
    <t>Why they ain‚Äôt growing?</t>
  </si>
  <si>
    <t>Why those people don‚Äôt want to take that car?</t>
  </si>
  <si>
    <t>It‚Äôs a whole lot of people don‚Äô wanna go to hell</t>
  </si>
  <si>
    <t>You‚Äôre the one ain‚Äôt got no church.</t>
  </si>
  <si>
    <t>It‚Äôs nobody walk that hard</t>
  </si>
  <si>
    <t>I had went to the city last night and the only Affirm they had was super, so I didn‚Äôt get it.</t>
  </si>
  <si>
    <t>We talked about this last year. That‚Äôs the test I had failed.</t>
  </si>
  <si>
    <t>They ain‚Äôt pay me for two day that I had took.</t>
  </si>
  <si>
    <t>Y‚Äôall seen how fast Jane had ran across the street?</t>
  </si>
  <si>
    <t>He had called me Wednesday afternoon and asked, ‚ÄúDo you want to go the movies‚Äù . . . so I gets in the car.</t>
  </si>
  <si>
    <t>Nobody don‚Äôt be there when it throw water everywhere?</t>
  </si>
  <si>
    <t>That‚Äôs really all that‚Äôs important, that he come around and bes with us.</t>
  </si>
  <si>
    <t>Carl, you know what I notice about this? When it be making ice, a lot of water fall in it.</t>
  </si>
  <si>
    <t>Sometime Rolanda bed don‚Äôt be made up.</t>
  </si>
  <si>
    <t>Don‚Äôt nobody listen to the five o‚Äôclock news.</t>
  </si>
  <si>
    <t>Mrs. Marple ain‚Äôt done sung in that classroom.</t>
  </si>
  <si>
    <t>I ain‚Äôt gon buy nothing for no classes now.</t>
  </si>
  <si>
    <t>Y‚Äôall done ate breakfast?</t>
  </si>
  <si>
    <t>The way the world going and the way people is acting, I don‚Äôt know, it don‚Äôt seem like half of them believe in any God.</t>
  </si>
  <si>
    <t>lll be done bought my own waitin‚Äô on him to buy me one.</t>
  </si>
  <si>
    <t>We‚Äôd be done gone and fell out.</t>
  </si>
  <si>
    <t>That picture of a man with no fingers ain‚Äôt gonna win no photography competition</t>
  </si>
  <si>
    <t>Half of them things be showed on tv don‚Äôt be happening.</t>
  </si>
  <si>
    <t>That‚Äôs the man come here the other day.</t>
  </si>
  <si>
    <t>wh-qu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</si>
</sst>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Aptos Narrow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2" borderId="0" xfId="0" applyFill="1" applyAlignment="1">
      <alignment wrapText="1"/>
    </xf>
    <xf numFmtId="11" fontId="0" fillId="0" borderId="0" xfId="0" applyNumberFormat="1"/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5F1E-61B8-CC4E-A62C-30E23DBF9163}">
  <dimension ref="A1:AB116"/>
  <sheetViews>
    <sheetView workbookViewId="0">
      <pane xSplit="1" ySplit="1" topLeftCell="B57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RowHeight="16" x14ac:dyDescent="0.2"/>
  <cols>
    <col min="1" max="1" width="23.1640625" customWidth="1"/>
    <col min="2" max="2" width="20.33203125" customWidth="1"/>
    <col min="3" max="3" width="9.1640625" bestFit="1" customWidth="1"/>
    <col min="4" max="4" width="10.6640625" bestFit="1" customWidth="1"/>
    <col min="5" max="5" width="7.1640625" bestFit="1" customWidth="1"/>
    <col min="6" max="6" width="10.33203125" bestFit="1" customWidth="1"/>
    <col min="7" max="7" width="8.83203125" bestFit="1" customWidth="1"/>
    <col min="8" max="8" width="5.1640625" bestFit="1" customWidth="1"/>
    <col min="9" max="9" width="5.6640625" bestFit="1" customWidth="1"/>
    <col min="10" max="10" width="7.1640625" bestFit="1" customWidth="1"/>
    <col min="11" max="11" width="8.1640625" bestFit="1" customWidth="1"/>
    <col min="12" max="12" width="8.83203125" bestFit="1" customWidth="1"/>
    <col min="13" max="13" width="9.1640625" bestFit="1" customWidth="1"/>
    <col min="14" max="14" width="4.1640625" bestFit="1" customWidth="1"/>
    <col min="15" max="15" width="8.6640625" bestFit="1" customWidth="1"/>
    <col min="16" max="16" width="10" bestFit="1" customWidth="1"/>
    <col min="17" max="17" width="8.1640625" bestFit="1" customWidth="1"/>
    <col min="18" max="18" width="7.1640625" bestFit="1" customWidth="1"/>
    <col min="19" max="20" width="7" bestFit="1" customWidth="1"/>
    <col min="21" max="21" width="10.1640625" bestFit="1" customWidth="1"/>
    <col min="23" max="23" width="10.1640625" bestFit="1" customWidth="1"/>
    <col min="24" max="24" width="3.6640625" bestFit="1" customWidth="1"/>
    <col min="25" max="25" width="9.33203125" bestFit="1" customWidth="1"/>
    <col min="26" max="26" width="10.1640625" bestFit="1" customWidth="1"/>
    <col min="27" max="27" width="7.83203125" bestFit="1" customWidth="1"/>
    <col min="28" max="28" width="8.5" bestFit="1" customWidth="1"/>
  </cols>
  <sheetData>
    <row r="1" spans="1:28" ht="4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34" x14ac:dyDescent="0.2">
      <c r="A2" s="4" t="s">
        <v>28</v>
      </c>
      <c r="B2" s="2" t="str" cm="1">
        <f t="array" ref="B2">_xlfn.TEXTJOIN(", ", TRUE, IF(C2:AB2=1, C$1:AB$1, ""))</f>
        <v>aint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51" x14ac:dyDescent="0.2">
      <c r="A3" s="2" t="s">
        <v>133</v>
      </c>
      <c r="B3" s="2" t="str" cm="1">
        <f t="array" ref="B3">_xlfn.TEXTJOIN(", ", TRUE, IF(C3:AB3=1, C$1:AB$1, ""))</f>
        <v>zero-copula, aint, appositive-pleonastic-pronoun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t="34" x14ac:dyDescent="0.2">
      <c r="A4" s="4" t="s">
        <v>29</v>
      </c>
      <c r="B4" s="2" t="str" cm="1">
        <f t="array" ref="B4">_xlfn.TEXTJOIN(", ", TRUE, IF(C4:AB4=1, C$1:AB$1, ""))</f>
        <v>zero-copula, be-construction</v>
      </c>
      <c r="C4" s="4">
        <v>0</v>
      </c>
      <c r="D4" s="4">
        <v>1</v>
      </c>
      <c r="E4" s="4">
        <v>0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51" x14ac:dyDescent="0.2">
      <c r="A5" s="2" t="s">
        <v>30</v>
      </c>
      <c r="B5" s="2" t="str" cm="1">
        <f t="array" ref="B5">_xlfn.TEXTJOIN(", ", TRUE, IF(C5:AB5=1, C$1:AB$1, ""))</f>
        <v>be-construction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ht="68" x14ac:dyDescent="0.2">
      <c r="A6" s="4" t="s">
        <v>120</v>
      </c>
      <c r="B6" s="2" t="str" cm="1">
        <f t="array" ref="B6">_xlfn.TEXTJOIN(", ", TRUE, IF(C6:AB6=1, C$1:AB$1, ""))</f>
        <v>be-construction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1:28" ht="68" x14ac:dyDescent="0.2">
      <c r="A7" s="2" t="s">
        <v>31</v>
      </c>
      <c r="B7" s="2" t="str" cm="1">
        <f t="array" ref="B7">_xlfn.TEXTJOIN(", ", TRUE, IF(C7:AB7=1, C$1:AB$1, ""))</f>
        <v>be-construction, resultant-done</v>
      </c>
      <c r="C7" s="2">
        <v>0</v>
      </c>
      <c r="D7" s="2">
        <v>0</v>
      </c>
      <c r="E7" s="2">
        <v>0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ht="51" x14ac:dyDescent="0.2">
      <c r="A8" s="4" t="s">
        <v>32</v>
      </c>
      <c r="B8" s="2" t="str" cm="1">
        <f t="array" ref="B8">_xlfn.TEXTJOIN(", ", TRUE, IF(C8:AB8=1, C$1:AB$1, ""))</f>
        <v>be-construction, past-tense-swap</v>
      </c>
      <c r="C8" s="4">
        <v>0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0</v>
      </c>
    </row>
    <row r="9" spans="1:28" ht="17" x14ac:dyDescent="0.2">
      <c r="A9" s="2" t="s">
        <v>33</v>
      </c>
      <c r="B9" s="2" t="str" cm="1">
        <f t="array" ref="B9">_xlfn.TEXTJOIN(", ", TRUE, IF(C9:AB9=1, C$1:AB$1, ""))</f>
        <v>be-construction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34" x14ac:dyDescent="0.2">
      <c r="A10" s="4" t="s">
        <v>34</v>
      </c>
      <c r="B10" s="2" t="str" cm="1">
        <f t="array" ref="B10">_xlfn.TEXTJOIN(", ", TRUE, IF(C10:AB10=1, C$1:AB$1, ""))</f>
        <v>be-construction</v>
      </c>
      <c r="C10" s="4">
        <v>0</v>
      </c>
      <c r="D10" s="4">
        <v>0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ht="51" x14ac:dyDescent="0.2">
      <c r="A11" s="2" t="s">
        <v>35</v>
      </c>
      <c r="B11" s="2" t="str" cm="1">
        <f t="array" ref="B11">_xlfn.TEXTJOIN(", ", TRUE, IF(C11:AB11=1, C$1:AB$1, ""))</f>
        <v>be-construction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51" x14ac:dyDescent="0.2">
      <c r="A12" s="4" t="s">
        <v>36</v>
      </c>
      <c r="B12" s="2" t="str" cm="1">
        <f t="array" ref="B12">_xlfn.TEXTJOIN(", ", TRUE, IF(C12:AB12=1, C$1:AB$1, ""))</f>
        <v>be-construction, multiple-neg, zero-3sg-pres-s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 spans="1:28" ht="51" x14ac:dyDescent="0.2">
      <c r="A13" s="2" t="s">
        <v>37</v>
      </c>
      <c r="B13" s="2" t="str" cm="1">
        <f t="array" ref="B13">_xlfn.TEXTJOIN(", ", TRUE, IF(C13:AB13=1, C$1:AB$1, ""))</f>
        <v>be-construction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51" x14ac:dyDescent="0.2">
      <c r="A14" s="4" t="s">
        <v>38</v>
      </c>
      <c r="B14" s="2" t="str" cm="1">
        <f t="array" ref="B14">_xlfn.TEXTJOIN(", ", TRUE, IF(C14:AB14=1, C$1:AB$1, ""))</f>
        <v>be-construction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 spans="1:28" ht="17" x14ac:dyDescent="0.2">
      <c r="A15" s="2" t="s">
        <v>39</v>
      </c>
      <c r="B15" s="2" t="str" cm="1">
        <f t="array" ref="B15">_xlfn.TEXTJOIN(", ", TRUE, IF(C15:AB15=1, C$1:AB$1, ""))</f>
        <v>bin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</row>
    <row r="16" spans="1:28" ht="51" x14ac:dyDescent="0.2">
      <c r="A16" s="4" t="s">
        <v>40</v>
      </c>
      <c r="B16" s="2" t="str" cm="1">
        <f t="array" ref="B16">_xlfn.TEXTJOIN(", ", TRUE, IF(C16:AB16=1, C$1:AB$1, ""))</f>
        <v>zero-poss, bin, verb-stem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</row>
    <row r="17" spans="1:28" ht="34" x14ac:dyDescent="0.2">
      <c r="A17" s="2" t="s">
        <v>41</v>
      </c>
      <c r="B17" s="2" t="str" cm="1">
        <f t="array" ref="B17">_xlfn.TEXTJOIN(", ", TRUE, IF(C17:AB17=1, C$1:AB$1, ""))</f>
        <v>resultant-done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34" x14ac:dyDescent="0.2">
      <c r="A18" s="4" t="s">
        <v>42</v>
      </c>
      <c r="B18" s="2" t="str" cm="1">
        <f t="array" ref="B18">_xlfn.TEXTJOIN(", ", TRUE, IF(C18:AB18=1, C$1:AB$1, ""))</f>
        <v>resultant-done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 spans="1:28" ht="85" x14ac:dyDescent="0.2">
      <c r="A19" s="2" t="s">
        <v>43</v>
      </c>
      <c r="B19" s="2" t="str" cm="1">
        <f t="array" ref="B19">_xlfn.TEXTJOIN(", ", TRUE, IF(C19:AB19=1, C$1:AB$1, ""))</f>
        <v>be-construction, resultant-done, zero-3sg-pres-s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68" x14ac:dyDescent="0.2">
      <c r="A20" s="4" t="s">
        <v>44</v>
      </c>
      <c r="B20" s="2" t="str" cm="1">
        <f t="array" ref="B20">_xlfn.TEXTJOIN(", ", TRUE, IF(C20:AB20=1, C$1:AB$1, ""))</f>
        <v>be-construction, resultant-done</v>
      </c>
      <c r="C20" s="4">
        <v>0</v>
      </c>
      <c r="D20" s="4">
        <v>0</v>
      </c>
      <c r="E20" s="4">
        <v>0</v>
      </c>
      <c r="F20" s="4">
        <v>1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</row>
    <row r="21" spans="1:28" ht="68" x14ac:dyDescent="0.2">
      <c r="A21" s="2" t="s">
        <v>45</v>
      </c>
      <c r="B21" s="2" t="str" cm="1">
        <f t="array" ref="B21">_xlfn.TEXTJOIN(", ", TRUE, IF(C21:AB21=1, C$1:AB$1, ""))</f>
        <v>be-construction, resultant-done, multiple-neg, zero-3sg-pres-s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85" x14ac:dyDescent="0.2">
      <c r="A22" s="4" t="s">
        <v>140</v>
      </c>
      <c r="B22" s="2" t="str" cm="1">
        <f t="array" ref="B22">_xlfn.TEXTJOIN(", ", TRUE, IF(C22:AB22=1, C$1:AB$1, ""))</f>
        <v>be-construction, resultant-done</v>
      </c>
      <c r="C22" s="4">
        <v>0</v>
      </c>
      <c r="D22" s="4">
        <v>0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 ht="51" x14ac:dyDescent="0.2">
      <c r="A23" s="2" t="s">
        <v>141</v>
      </c>
      <c r="B23" s="2" t="str" cm="1">
        <f t="array" ref="B23">_xlfn.TEXTJOIN(", ", TRUE, IF(C23:AB23=1, C$1:AB$1, ""))</f>
        <v>be-construction, resultant-done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34" x14ac:dyDescent="0.2">
      <c r="A24" s="4" t="s">
        <v>46</v>
      </c>
      <c r="B24" s="2" t="str" cm="1">
        <f t="array" ref="B24">_xlfn.TEXTJOIN(", ", TRUE, IF(C24:AB24=1, C$1:AB$1, ""))</f>
        <v>resultant-done, bin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</row>
    <row r="25" spans="1:28" ht="68" x14ac:dyDescent="0.2">
      <c r="A25" s="2" t="s">
        <v>48</v>
      </c>
      <c r="B25" s="2" t="str" cm="1">
        <f t="array" ref="B25">_xlfn.TEXTJOIN(", ", TRUE, IF(C25:AB25=1, C$1:AB$1, ""))</f>
        <v>be-construction, resultant-done</v>
      </c>
      <c r="C25" s="2">
        <v>0</v>
      </c>
      <c r="D25" s="2">
        <v>0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34" x14ac:dyDescent="0.2">
      <c r="A26" s="4" t="s">
        <v>47</v>
      </c>
      <c r="B26" s="2" t="str" cm="1">
        <f t="array" ref="B26">_xlfn.TEXTJOIN(", ", TRUE, IF(C26:AB26=1, C$1:AB$1, ""))</f>
        <v>be-construction, zero-3sg-pres-s</v>
      </c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 spans="1:28" ht="17" x14ac:dyDescent="0.2">
      <c r="A27" s="2" t="s">
        <v>49</v>
      </c>
      <c r="B27" s="2" t="str" cm="1">
        <f t="array" ref="B27">_xlfn.TEXTJOIN(", ", TRUE, IF(C27:AB27=1, C$1:AB$1, ""))</f>
        <v>aint, bin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</row>
    <row r="28" spans="1:28" ht="51" x14ac:dyDescent="0.2">
      <c r="A28" s="4" t="s">
        <v>50</v>
      </c>
      <c r="B28" s="2" t="str" cm="1">
        <f t="array" ref="B28">_xlfn.TEXTJOIN(", ", TRUE, IF(C28:AB28=1, C$1:AB$1, ""))</f>
        <v>be-construction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 ht="51" x14ac:dyDescent="0.2">
      <c r="A29" s="2" t="s">
        <v>51</v>
      </c>
      <c r="B29" s="2" t="str" cm="1">
        <f t="array" ref="B29">_xlfn.TEXTJOIN(", ", TRUE, IF(C29:AB29=1, C$1:AB$1, ""))</f>
        <v/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34" x14ac:dyDescent="0.2">
      <c r="A30" s="4" t="s">
        <v>52</v>
      </c>
      <c r="B30" s="2" t="str" cm="1">
        <f t="array" ref="B30">_xlfn.TEXTJOIN(", ", TRUE, IF(C30:AB30=1, C$1:AB$1, ""))</f>
        <v>be-construction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1" spans="1:28" ht="34" x14ac:dyDescent="0.2">
      <c r="A31" s="2" t="s">
        <v>53</v>
      </c>
      <c r="B31" s="2" t="str" cm="1">
        <f t="array" ref="B31">_xlfn.TEXTJOIN(", ", TRUE, IF(C31:AB31=1, C$1:AB$1, ""))</f>
        <v>be-construction, zero-3sg-pres-s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7" x14ac:dyDescent="0.2">
      <c r="A32" s="4" t="s">
        <v>54</v>
      </c>
      <c r="B32" s="2" t="str" cm="1">
        <f t="array" ref="B32">_xlfn.TEXTJOIN(", ", TRUE, IF(C32:AB32=1, C$1:AB$1, ""))</f>
        <v>resultant-done, aint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 spans="1:28" ht="85" x14ac:dyDescent="0.2">
      <c r="A33" s="2" t="s">
        <v>121</v>
      </c>
      <c r="B33" s="2" t="str" cm="1">
        <f t="array" ref="B33">_xlfn.TEXTJOIN(", ", TRUE, IF(C33:AB33=1, C$1:AB$1, ""))</f>
        <v>resultant-done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51" x14ac:dyDescent="0.2">
      <c r="A34" s="4" t="s">
        <v>55</v>
      </c>
      <c r="B34" s="2" t="str" cm="1">
        <f t="array" ref="B34">_xlfn.TEXTJOIN(", ", TRUE, IF(C34:AB34=1, C$1:AB$1, ""))</f>
        <v>zero-copula, finna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 ht="34" x14ac:dyDescent="0.2">
      <c r="A35" s="2" t="s">
        <v>56</v>
      </c>
      <c r="B35" s="2" t="str" cm="1">
        <f t="array" ref="B35">_xlfn.TEXTJOIN(", ", TRUE, IF(C35:AB35=1, C$1:AB$1, ""))</f>
        <v>zero-poss, zero-copula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68" x14ac:dyDescent="0.2">
      <c r="A36" s="4" t="s">
        <v>57</v>
      </c>
      <c r="B36" s="2" t="str" cm="1">
        <f t="array" ref="B36">_xlfn.TEXTJOIN(", ", TRUE, IF(C36:AB36=1, C$1:AB$1, ""))</f>
        <v>zero-copula, finna, zero-3sg-pres-s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</row>
    <row r="37" spans="1:28" ht="51" x14ac:dyDescent="0.2">
      <c r="A37" s="2" t="s">
        <v>58</v>
      </c>
      <c r="B37" s="2" t="str" cm="1">
        <f t="array" ref="B37">_xlfn.TEXTJOIN(", ", TRUE, IF(C37:AB37=1, C$1:AB$1, ""))</f>
        <v>finna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51" x14ac:dyDescent="0.2">
      <c r="A38" s="4" t="s">
        <v>59</v>
      </c>
      <c r="B38" s="2" t="str" cm="1">
        <f t="array" ref="B38">_xlfn.TEXTJOIN(", ", TRUE, IF(C38:AB38=1, C$1:AB$1, ""))</f>
        <v>be-construction, finna</v>
      </c>
      <c r="C38" s="4">
        <v>0</v>
      </c>
      <c r="D38" s="4">
        <v>0</v>
      </c>
      <c r="E38" s="4">
        <v>0</v>
      </c>
      <c r="F38" s="4">
        <v>1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</row>
    <row r="39" spans="1:28" ht="51" x14ac:dyDescent="0.2">
      <c r="A39" s="2" t="s">
        <v>131</v>
      </c>
      <c r="B39" s="2" t="str" cm="1">
        <f t="array" ref="B39">_xlfn.TEXTJOIN(", ", TRUE, IF(C39:AB39=1, C$1:AB$1, ""))</f>
        <v>zero-poss, zero-copula, demonstrative-them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51" x14ac:dyDescent="0.2">
      <c r="A40" s="4" t="s">
        <v>60</v>
      </c>
      <c r="B40" s="2" t="str" cm="1">
        <f t="array" ref="B40">_xlfn.TEXTJOIN(", ", TRUE, IF(C40:AB40=1, C$1:AB$1, ""))</f>
        <v>zero-copula, come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 ht="51" x14ac:dyDescent="0.2">
      <c r="A41" s="2" t="s">
        <v>61</v>
      </c>
      <c r="B41" s="2" t="str" cm="1">
        <f t="array" ref="B41">_xlfn.TEXTJOIN(", ", TRUE, IF(C41:AB41=1, C$1:AB$1, ""))</f>
        <v>come, is-was-gen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51" x14ac:dyDescent="0.2">
      <c r="A42" s="4" t="s">
        <v>62</v>
      </c>
      <c r="B42" s="2" t="str" cm="1">
        <f t="array" ref="B42">_xlfn.TEXTJOIN(", ", TRUE, IF(C42:AB42=1, C$1:AB$1, ""))</f>
        <v>zero-copula, be-construction, multiple-neg</v>
      </c>
      <c r="C42" s="4">
        <v>0</v>
      </c>
      <c r="D42" s="4">
        <v>1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</row>
    <row r="43" spans="1:28" ht="51" x14ac:dyDescent="0.2">
      <c r="A43" s="2" t="s">
        <v>63</v>
      </c>
      <c r="B43" s="2" t="str" cm="1">
        <f t="array" ref="B43">_xlfn.TEXTJOIN(", ", TRUE, IF(C43:AB43=1, C$1:AB$1, ""))</f>
        <v>be-construction, multiple-neg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51" x14ac:dyDescent="0.2">
      <c r="A44" s="4" t="s">
        <v>139</v>
      </c>
      <c r="B44" s="2" t="str" cm="1">
        <f t="array" ref="B44">_xlfn.TEXTJOIN(", ", TRUE, IF(C44:AB44=1, C$1:AB$1, ""))</f>
        <v>multiple-neg, aint, zero-pl-s, demonstrative-them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</row>
    <row r="45" spans="1:28" ht="51" x14ac:dyDescent="0.2">
      <c r="A45" s="2" t="s">
        <v>64</v>
      </c>
      <c r="B45" s="2" t="str" cm="1">
        <f t="array" ref="B45">_xlfn.TEXTJOIN(", ", TRUE, IF(C45:AB45=1, C$1:AB$1, ""))</f>
        <v>multiple-neg, zero-rel-pronoun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</row>
    <row r="46" spans="1:28" ht="34" x14ac:dyDescent="0.2">
      <c r="A46" s="4" t="s">
        <v>65</v>
      </c>
      <c r="B46" s="2" t="str" cm="1">
        <f t="array" ref="B46">_xlfn.TEXTJOIN(", ", TRUE, IF(C46:AB46=1, C$1:AB$1, ""))</f>
        <v>zero-3sg-pres-s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 ht="34" x14ac:dyDescent="0.2">
      <c r="A47" s="2" t="s">
        <v>66</v>
      </c>
      <c r="B47" s="2" t="str" cm="1">
        <f t="array" ref="B47">_xlfn.TEXTJOIN(", ", TRUE, IF(C47:AB47=1, C$1:AB$1, ""))</f>
        <v>existential-it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34" x14ac:dyDescent="0.2">
      <c r="A48" s="4" t="s">
        <v>67</v>
      </c>
      <c r="B48" s="2" t="str" cm="1">
        <f t="array" ref="B48">_xlfn.TEXTJOIN(", ", TRUE, IF(C48:AB48=1, C$1:AB$1, ""))</f>
        <v>existential-it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</row>
    <row r="49" spans="1:28" ht="51" x14ac:dyDescent="0.2">
      <c r="A49" s="2" t="s">
        <v>68</v>
      </c>
      <c r="B49" s="2" t="str" cm="1">
        <f t="array" ref="B49">_xlfn.TEXTJOIN(", ", TRUE, IF(C49:AB49=1, C$1:AB$1, ""))</f>
        <v>zero-3sg-pres-s, existential-it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68" x14ac:dyDescent="0.2">
      <c r="A50" s="4" t="s">
        <v>122</v>
      </c>
      <c r="B50" s="2" t="str" cm="1">
        <f t="array" ref="B50">_xlfn.TEXTJOIN(", ", TRUE, IF(C50:AB50=1, C$1:AB$1, ""))</f>
        <v>existential-it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ht="68" x14ac:dyDescent="0.2">
      <c r="A51" s="2" t="s">
        <v>69</v>
      </c>
      <c r="B51" s="2" t="str" cm="1">
        <f t="array" ref="B51">_xlfn.TEXTJOIN(", ", TRUE, IF(C51:AB51=1, C$1:AB$1, ""))</f>
        <v>zero-copula, existential-it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51" x14ac:dyDescent="0.2">
      <c r="A52" s="4" t="s">
        <v>70</v>
      </c>
      <c r="B52" s="2" t="str" cm="1">
        <f t="array" ref="B52">_xlfn.TEXTJOIN(", ", TRUE, IF(C52:AB52=1, C$1:AB$1, ""))</f>
        <v>zero-copula, existential-it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ht="17" x14ac:dyDescent="0.2">
      <c r="A53" s="2" t="s">
        <v>71</v>
      </c>
      <c r="B53" s="2" t="str" cm="1">
        <f t="array" ref="B53">_xlfn.TEXTJOIN(", ", TRUE, IF(C53:AB53=1, C$1:AB$1, ""))</f>
        <v>wh-qu1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7" x14ac:dyDescent="0.2">
      <c r="A54" s="4" t="s">
        <v>72</v>
      </c>
      <c r="B54" s="2" t="str" cm="1">
        <f t="array" ref="B54">_xlfn.TEXTJOIN(", ", TRUE, IF(C54:AB54=1, C$1:AB$1, ""))</f>
        <v>zero-copula, wh-qu1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ht="17" x14ac:dyDescent="0.2">
      <c r="A55" s="2" t="s">
        <v>73</v>
      </c>
      <c r="B55" s="2" t="str" cm="1">
        <f t="array" ref="B55">_xlfn.TEXTJOIN(", ", TRUE, IF(C55:AB55=1, C$1:AB$1, ""))</f>
        <v>be-construction, wh-qu2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</row>
    <row r="56" spans="1:28" ht="51" x14ac:dyDescent="0.2">
      <c r="A56" s="4" t="s">
        <v>138</v>
      </c>
      <c r="B56" s="2" t="str" cm="1">
        <f t="array" ref="B56">_xlfn.TEXTJOIN(", ", TRUE, IF(C56:AB56=1, C$1:AB$1, ""))</f>
        <v>is-was-gen, zero-pl-s, wh-qu2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</row>
    <row r="57" spans="1:28" ht="51" x14ac:dyDescent="0.2">
      <c r="A57" s="2" t="s">
        <v>74</v>
      </c>
      <c r="B57" s="2" t="str" cm="1">
        <f t="array" ref="B57">_xlfn.TEXTJOIN(", ", TRUE, IF(C57:AB57=1, C$1:AB$1, ""))</f>
        <v>zero-copula, wh-qu1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34" x14ac:dyDescent="0.2">
      <c r="A58" s="4" t="s">
        <v>75</v>
      </c>
      <c r="B58" s="2" t="str" cm="1">
        <f t="array" ref="B58">_xlfn.TEXTJOIN(", ", TRUE, IF(C58:AB58=1, C$1:AB$1, ""))</f>
        <v>wh-qu1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</row>
    <row r="59" spans="1:28" ht="17" x14ac:dyDescent="0.2">
      <c r="A59" s="2" t="s">
        <v>76</v>
      </c>
      <c r="B59" s="2" t="str" cm="1">
        <f t="array" ref="B59">_xlfn.TEXTJOIN(", ", TRUE, IF(C59:AB59=1, C$1:AB$1, ""))</f>
        <v>aint, wh-qu2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ht="34" x14ac:dyDescent="0.2">
      <c r="A60" s="4" t="s">
        <v>77</v>
      </c>
      <c r="B60" s="2" t="str" cm="1">
        <f t="array" ref="B60">_xlfn.TEXTJOIN(", ", TRUE, IF(C60:AB60=1, C$1:AB$1, ""))</f>
        <v>wh-qu2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</row>
    <row r="61" spans="1:28" ht="34" x14ac:dyDescent="0.2">
      <c r="A61" s="2" t="s">
        <v>78</v>
      </c>
      <c r="B61" s="2" t="str" cm="1">
        <f t="array" ref="B61">_xlfn.TEXTJOIN(", ", TRUE, IF(C61:AB61=1, C$1:AB$1, ""))</f>
        <v>wh-qu1, past-tense-swap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</row>
    <row r="62" spans="1:28" ht="34" x14ac:dyDescent="0.2">
      <c r="A62" s="4" t="s">
        <v>79</v>
      </c>
      <c r="B62" s="2" t="str" cm="1">
        <f t="array" ref="B62">_xlfn.TEXTJOIN(", ", TRUE, IF(C62:AB62=1, C$1:AB$1, ""))</f>
        <v>be-construction</v>
      </c>
      <c r="C62" s="4">
        <v>0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</row>
    <row r="63" spans="1:28" ht="51" x14ac:dyDescent="0.2">
      <c r="A63" s="2" t="s">
        <v>110</v>
      </c>
      <c r="B63" s="2" t="str" cm="1">
        <f t="array" ref="B63">_xlfn.TEXTJOIN(", ", TRUE, IF(C63:AB63=1, C$1:AB$1, ""))</f>
        <v>zero-copula, wh-qu2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34" x14ac:dyDescent="0.2">
      <c r="A64" s="4" t="s">
        <v>109</v>
      </c>
      <c r="B64" s="2" t="str" cm="1">
        <f t="array" ref="B64">_xlfn.TEXTJOIN(", ", TRUE, IF(C64:AB64=1, C$1:AB$1, ""))</f>
        <v>wh-qu2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ht="34" x14ac:dyDescent="0.2">
      <c r="A65" s="2" t="s">
        <v>108</v>
      </c>
      <c r="B65" s="2" t="str" cm="1">
        <f t="array" ref="B65">_xlfn.TEXTJOIN(", ", TRUE, IF(C65:AB65=1, C$1:AB$1, ""))</f>
        <v>existential-it, zero-rel-pronoun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</row>
    <row r="66" spans="1:28" ht="34" x14ac:dyDescent="0.2">
      <c r="A66" s="4" t="s">
        <v>107</v>
      </c>
      <c r="B66" s="2" t="str" cm="1">
        <f t="array" ref="B66">_xlfn.TEXTJOIN(", ", TRUE, IF(C66:AB66=1, C$1:AB$1, ""))</f>
        <v>multiple-neg, aint, zero-rel-pronoun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</row>
    <row r="67" spans="1:28" ht="51" x14ac:dyDescent="0.2">
      <c r="A67" s="2" t="s">
        <v>60</v>
      </c>
      <c r="B67" s="2" t="str" cm="1">
        <f t="array" ref="B67">_xlfn.TEXTJOIN(", ", TRUE, IF(C67:AB67=1, C$1:AB$1, ""))</f>
        <v>zero-copula, come, zero-rel-pronoun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0</v>
      </c>
    </row>
    <row r="68" spans="1:28" ht="51" x14ac:dyDescent="0.2">
      <c r="A68" s="4" t="s">
        <v>103</v>
      </c>
      <c r="B68" s="2" t="str" cm="1">
        <f t="array" ref="B68">_xlfn.TEXTJOIN(", ", TRUE, IF(C68:AB68=1, C$1:AB$1, ""))</f>
        <v>zero-3sg-pres-s, existential-it, zero-rel-pronoun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</row>
    <row r="69" spans="1:28" ht="34" x14ac:dyDescent="0.2">
      <c r="A69" s="2" t="s">
        <v>106</v>
      </c>
      <c r="B69" s="2" t="str" cm="1">
        <f t="array" ref="B69">_xlfn.TEXTJOIN(", ", TRUE, IF(C69:AB69=1, C$1:AB$1, ""))</f>
        <v>be-construction, zero-rel-pronoun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</row>
    <row r="70" spans="1:28" ht="68" x14ac:dyDescent="0.2">
      <c r="A70" s="4" t="s">
        <v>105</v>
      </c>
      <c r="B70" s="2" t="str" cm="1">
        <f t="array" ref="B70">_xlfn.TEXTJOIN(", ", TRUE, IF(C70:AB70=1, C$1:AB$1, ""))</f>
        <v>preterite-had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</v>
      </c>
    </row>
    <row r="71" spans="1:28" ht="51" x14ac:dyDescent="0.2">
      <c r="A71" s="2" t="s">
        <v>104</v>
      </c>
      <c r="B71" s="2" t="str" cm="1">
        <f t="array" ref="B71">_xlfn.TEXTJOIN(", ", TRUE, IF(C71:AB71=1, C$1:AB$1, ""))</f>
        <v>preterite-had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</row>
    <row r="72" spans="1:28" ht="34" x14ac:dyDescent="0.2">
      <c r="A72" s="4" t="s">
        <v>137</v>
      </c>
      <c r="B72" s="2" t="str" cm="1">
        <f t="array" ref="B72">_xlfn.TEXTJOIN(", ", TRUE, IF(C72:AB72=1, C$1:AB$1, ""))</f>
        <v>aint, zero-pl-s, verb-stem, preterite-had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</v>
      </c>
      <c r="O72" s="4">
        <v>0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1</v>
      </c>
      <c r="Z72" s="4">
        <v>0</v>
      </c>
      <c r="AA72" s="4">
        <v>0</v>
      </c>
      <c r="AB72" s="4">
        <v>1</v>
      </c>
    </row>
    <row r="73" spans="1:28" ht="34" x14ac:dyDescent="0.2">
      <c r="A73" s="2" t="s">
        <v>80</v>
      </c>
      <c r="B73" s="2" t="str" cm="1">
        <f t="array" ref="B73">_xlfn.TEXTJOIN(", ", TRUE, IF(C73:AB73=1, C$1:AB$1, ""))</f>
        <v>past-tense-swap, preterite-had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1</v>
      </c>
    </row>
    <row r="74" spans="1:28" ht="51" x14ac:dyDescent="0.2">
      <c r="A74" s="4" t="s">
        <v>136</v>
      </c>
      <c r="B74" s="2" t="str" cm="1">
        <f t="array" ref="B74">_xlfn.TEXTJOIN(", ", TRUE, IF(C74:AB74=1, C$1:AB$1, ""))</f>
        <v>be-construction, resultant-done, zero-3sg-pres-s, appositive-pleonastic-pronoun</v>
      </c>
      <c r="C74" s="4">
        <v>0</v>
      </c>
      <c r="D74" s="4">
        <v>0</v>
      </c>
      <c r="E74" s="4">
        <v>0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</row>
    <row r="75" spans="1:28" ht="34" x14ac:dyDescent="0.2">
      <c r="A75" s="2" t="s">
        <v>81</v>
      </c>
      <c r="B75" s="2" t="str" cm="1">
        <f t="array" ref="B75">_xlfn.TEXTJOIN(", ", TRUE, IF(C75:AB75=1, C$1:AB$1, ""))</f>
        <v>be-construction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34" x14ac:dyDescent="0.2">
      <c r="A76" s="4" t="s">
        <v>123</v>
      </c>
      <c r="B76" s="2" t="str" cm="1">
        <f t="array" ref="B76">_xlfn.TEXTJOIN(", ", TRUE, IF(C76:AB76=1, C$1:AB$1, ""))</f>
        <v>be-construction, resultant-done, zero-3sg-pres-s</v>
      </c>
      <c r="C76" s="4">
        <v>0</v>
      </c>
      <c r="D76" s="4">
        <v>0</v>
      </c>
      <c r="E76" s="4">
        <v>0</v>
      </c>
      <c r="F76" s="4">
        <v>1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</row>
    <row r="77" spans="1:28" ht="85" x14ac:dyDescent="0.2">
      <c r="A77" s="2" t="s">
        <v>111</v>
      </c>
      <c r="B77" s="2" t="str" cm="1">
        <f t="array" ref="B77">_xlfn.TEXTJOIN(", ", TRUE, IF(C77:AB77=1, C$1:AB$1, ""))</f>
        <v>preterite-had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</row>
    <row r="78" spans="1:28" ht="68" x14ac:dyDescent="0.2">
      <c r="A78" s="4" t="s">
        <v>124</v>
      </c>
      <c r="B78" s="2" t="str" cm="1">
        <f t="array" ref="B78">_xlfn.TEXTJOIN(", ", TRUE, IF(C78:AB78=1, C$1:AB$1, ""))</f>
        <v>be-construction, multiple-neg, n-inv-neg-concord, zero-3sg-pres-s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1</v>
      </c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</row>
    <row r="79" spans="1:28" ht="34" x14ac:dyDescent="0.2">
      <c r="A79" s="2" t="s">
        <v>134</v>
      </c>
      <c r="B79" s="2" t="str" cm="1">
        <f t="array" ref="B79">_xlfn.TEXTJOIN(", ", TRUE, IF(C79:AB79=1, C$1:AB$1, ""))</f>
        <v>appositive-pleonastic-pronoun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51" x14ac:dyDescent="0.2">
      <c r="A80" s="4" t="s">
        <v>82</v>
      </c>
      <c r="B80" s="2" t="str" cm="1">
        <f t="array" ref="B80">_xlfn.TEXTJOIN(", ", TRUE, IF(C80:AB80=1, C$1:AB$1, ""))</f>
        <v>zero-3sg-pres-s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</row>
    <row r="81" spans="1:28" ht="68" x14ac:dyDescent="0.2">
      <c r="A81" s="2" t="s">
        <v>132</v>
      </c>
      <c r="B81" s="2" t="str" cm="1">
        <f t="array" ref="B81">_xlfn.TEXTJOIN(", ", TRUE, IF(C81:AB81=1, C$1:AB$1, ""))</f>
        <v>be-construction, zero-3sg-pres-s, verb-stem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0</v>
      </c>
      <c r="AB81" s="2">
        <v>0</v>
      </c>
    </row>
    <row r="82" spans="1:28" ht="51" x14ac:dyDescent="0.2">
      <c r="A82" s="4" t="s">
        <v>83</v>
      </c>
      <c r="B82" s="2" t="str" cm="1">
        <f t="array" ref="B82">_xlfn.TEXTJOIN(", ", TRUE, IF(C82:AB82=1, C$1:AB$1, ""))</f>
        <v>be-construction, zero-3sg-pres-s</v>
      </c>
      <c r="C82" s="4">
        <v>0</v>
      </c>
      <c r="D82" s="4">
        <v>0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 ht="51" x14ac:dyDescent="0.2">
      <c r="A83" s="2" t="s">
        <v>84</v>
      </c>
      <c r="B83" s="2" t="str" cm="1">
        <f t="array" ref="B83">_xlfn.TEXTJOIN(", ", TRUE, IF(C83:AB83=1, C$1:AB$1, ""))</f>
        <v>zero-poss, be-construction, zero-3sg-pres-s</v>
      </c>
      <c r="C83" s="2">
        <v>1</v>
      </c>
      <c r="D83" s="2">
        <v>0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51" x14ac:dyDescent="0.2">
      <c r="A84" s="4" t="s">
        <v>85</v>
      </c>
      <c r="B84" s="2" t="str" cm="1">
        <f t="array" ref="B84">_xlfn.TEXTJOIN(", ", TRUE, IF(C84:AB84=1, C$1:AB$1, ""))</f>
        <v>zero-poss, zero-copula, be-construction</v>
      </c>
      <c r="C84" s="4">
        <v>1</v>
      </c>
      <c r="D84" s="4">
        <v>1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</row>
    <row r="85" spans="1:28" ht="51" x14ac:dyDescent="0.2">
      <c r="A85" s="4" t="s">
        <v>125</v>
      </c>
      <c r="B85" s="2" t="str" cm="1">
        <f t="array" ref="B85">_xlfn.TEXTJOIN(", ", TRUE, IF(C85:AB85=1, C$1:AB$1, ""))</f>
        <v>zero-poss, zero-copula</v>
      </c>
      <c r="C85" s="4">
        <v>1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86" spans="1:28" ht="51" x14ac:dyDescent="0.2">
      <c r="A86" s="2" t="s">
        <v>86</v>
      </c>
      <c r="B86" s="2" t="str" cm="1">
        <f t="array" ref="B86">_xlfn.TEXTJOIN(", ", TRUE, IF(C86:AB86=1, C$1:AB$1, ""))</f>
        <v>multiple-neg, neg-inversion, zero-3sg-pres-s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34" x14ac:dyDescent="0.2">
      <c r="A87" s="4" t="s">
        <v>126</v>
      </c>
      <c r="B87" s="2" t="str" cm="1">
        <f t="array" ref="B87">_xlfn.TEXTJOIN(", ", TRUE, IF(C87:AB87=1, C$1:AB$1, ""))</f>
        <v>resultant-done, aint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</row>
    <row r="88" spans="1:28" ht="34" x14ac:dyDescent="0.2">
      <c r="A88" s="2" t="s">
        <v>112</v>
      </c>
      <c r="B88" s="2" t="str" cm="1">
        <f t="array" ref="B88">_xlfn.TEXTJOIN(", ", TRUE, IF(C88:AB88=1, C$1:AB$1, ""))</f>
        <v>zero-copula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34" x14ac:dyDescent="0.2">
      <c r="A89" s="4" t="s">
        <v>87</v>
      </c>
      <c r="B89" s="2" t="str" cm="1">
        <f t="array" ref="B89">_xlfn.TEXTJOIN(", ", TRUE, IF(C89:AB89=1, C$1:AB$1, ""))</f>
        <v>multiple-neg, aint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</row>
    <row r="90" spans="1:28" ht="34" x14ac:dyDescent="0.2">
      <c r="A90" s="2" t="s">
        <v>88</v>
      </c>
      <c r="B90" s="2" t="str" cm="1">
        <f t="array" ref="B90">_xlfn.TEXTJOIN(", ", TRUE, IF(C90:AB90=1, C$1:AB$1, ""))</f>
        <v>resultant-done, past-tense-swap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0</v>
      </c>
      <c r="AB90" s="2">
        <v>0</v>
      </c>
    </row>
    <row r="91" spans="1:28" ht="17" x14ac:dyDescent="0.2">
      <c r="A91" s="4" t="s">
        <v>89</v>
      </c>
      <c r="B91" s="2" t="str" cm="1">
        <f t="array" ref="B91">_xlfn.TEXTJOIN(", ", TRUE, IF(C91:AB91=1, C$1:AB$1, ""))</f>
        <v>verb-stem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0</v>
      </c>
      <c r="AB91" s="4">
        <v>0</v>
      </c>
    </row>
    <row r="92" spans="1:28" ht="34" x14ac:dyDescent="0.2">
      <c r="A92" s="2" t="s">
        <v>90</v>
      </c>
      <c r="B92" s="2" t="str" cm="1">
        <f t="array" ref="B92">_xlfn.TEXTJOIN(", ", TRUE, IF(C92:AB92=1, C$1:AB$1, ""))</f>
        <v>is-was-gen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34" x14ac:dyDescent="0.2">
      <c r="A93" s="4" t="s">
        <v>91</v>
      </c>
      <c r="B93" s="2" t="str" cm="1">
        <f t="array" ref="B93">_xlfn.TEXTJOIN(", ", TRUE, IF(C93:AB93=1, C$1:AB$1, ""))</f>
        <v>resultant-done, past-tense-swap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</v>
      </c>
      <c r="AA93" s="4">
        <v>0</v>
      </c>
      <c r="AB93" s="4">
        <v>0</v>
      </c>
    </row>
    <row r="94" spans="1:28" ht="51" x14ac:dyDescent="0.2">
      <c r="A94" s="2" t="s">
        <v>92</v>
      </c>
      <c r="B94" s="2" t="str" cm="1">
        <f t="array" ref="B94">_xlfn.TEXTJOIN(", ", TRUE, IF(C94:AB94=1, C$1:AB$1, ""))</f>
        <v>be-construction, resultant-done, past-tense-swap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</row>
    <row r="95" spans="1:28" ht="34" x14ac:dyDescent="0.2">
      <c r="A95" s="4" t="s">
        <v>93</v>
      </c>
      <c r="B95" s="2" t="str" cm="1">
        <f t="array" ref="B95">_xlfn.TEXTJOIN(", ", TRUE, IF(C95:AB95=1, C$1:AB$1, ""))</f>
        <v>resultant-done, past-tense-swap</v>
      </c>
      <c r="C95" s="4">
        <v>0</v>
      </c>
      <c r="D95" s="4">
        <v>0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</row>
    <row r="96" spans="1:28" ht="34" x14ac:dyDescent="0.2">
      <c r="A96" s="2" t="s">
        <v>129</v>
      </c>
      <c r="B96" s="2" t="str" cm="1">
        <f t="array" ref="B96">_xlfn.TEXTJOIN(", ", TRUE, IF(C96:AB96=1, C$1:AB$1, ""))</f>
        <v>resultant-done, bin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</row>
    <row r="97" spans="1:28" ht="85" x14ac:dyDescent="0.2">
      <c r="A97" s="2" t="s">
        <v>130</v>
      </c>
      <c r="B97" s="2" t="str" cm="1">
        <f t="array" ref="B97">_xlfn.TEXTJOIN(", ", TRUE, IF(C97:AB97=1, C$1:AB$1, ""))</f>
        <v>zero-copula, zero-3sg-pres-s, is-was-gen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51" x14ac:dyDescent="0.2">
      <c r="A98" s="4" t="s">
        <v>113</v>
      </c>
      <c r="B98" s="2" t="str" cm="1">
        <f t="array" ref="B98">_xlfn.TEXTJOIN(", ", TRUE, IF(C98:AB98=1, C$1:AB$1, ""))</f>
        <v>zero-copula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</row>
    <row r="99" spans="1:28" ht="51" x14ac:dyDescent="0.2">
      <c r="A99" s="2" t="s">
        <v>114</v>
      </c>
      <c r="B99" s="2" t="str" cm="1">
        <f t="array" ref="B99">_xlfn.TEXTJOIN(", ", TRUE, IF(C99:AB99=1, C$1:AB$1, ""))</f>
        <v>zero-copula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 spans="1:28" ht="34" x14ac:dyDescent="0.2">
      <c r="A100" s="4" t="s">
        <v>115</v>
      </c>
      <c r="B100" s="2" t="str" cm="1">
        <f t="array" ref="B100">_xlfn.TEXTJOIN(", ", TRUE, IF(C100:AB100=1, C$1:AB$1, ""))</f>
        <v/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</row>
    <row r="101" spans="1:28" ht="34" x14ac:dyDescent="0.2">
      <c r="A101" s="2" t="s">
        <v>94</v>
      </c>
      <c r="B101" s="2" t="str" cm="1">
        <f t="array" ref="B101">_xlfn.TEXTJOIN(", ", TRUE, IF(C101:AB101=1, C$1:AB$1, ""))</f>
        <v>be-construction</v>
      </c>
      <c r="C101" s="2">
        <v>0</v>
      </c>
      <c r="D101" s="2">
        <v>0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34" x14ac:dyDescent="0.2">
      <c r="A102" s="4" t="s">
        <v>128</v>
      </c>
      <c r="B102" s="2" t="str" cm="1">
        <f t="array" ref="B102">_xlfn.TEXTJOIN(", ", TRUE, IF(C102:AB102=1, C$1:AB$1, ""))</f>
        <v>aint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</row>
    <row r="103" spans="1:28" ht="17" x14ac:dyDescent="0.2">
      <c r="A103" s="2" t="s">
        <v>95</v>
      </c>
      <c r="B103" s="2" t="str" cm="1">
        <f t="array" ref="B103">_xlfn.TEXTJOIN(", ", TRUE, IF(C103:AB103=1, C$1:AB$1, ""))</f>
        <v>zero-poss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51" x14ac:dyDescent="0.2">
      <c r="A104" s="4" t="s">
        <v>127</v>
      </c>
      <c r="B104" s="2" t="str" cm="1">
        <f t="array" ref="B104">_xlfn.TEXTJOIN(", ", TRUE, IF(C104:AB104=1, C$1:AB$1, ""))</f>
        <v>be-construction, resultant-done</v>
      </c>
      <c r="C104" s="4">
        <v>0</v>
      </c>
      <c r="D104" s="4">
        <v>0</v>
      </c>
      <c r="E104" s="4">
        <v>0</v>
      </c>
      <c r="F104" s="4">
        <v>1</v>
      </c>
      <c r="G104" s="4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 ht="34" x14ac:dyDescent="0.2">
      <c r="A105" s="2" t="s">
        <v>96</v>
      </c>
      <c r="B105" s="2" t="str" cm="1">
        <f t="array" ref="B105">_xlfn.TEXTJOIN(", ", TRUE, IF(C105:AB105=1, C$1:AB$1, ""))</f>
        <v>be-construction, resultant-done</v>
      </c>
      <c r="C105" s="2">
        <v>0</v>
      </c>
      <c r="D105" s="2">
        <v>0</v>
      </c>
      <c r="E105" s="2">
        <v>0</v>
      </c>
      <c r="F105" s="2">
        <v>1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34" x14ac:dyDescent="0.2">
      <c r="A106" s="4" t="s">
        <v>97</v>
      </c>
      <c r="B106" s="2" t="str" cm="1">
        <f t="array" ref="B106">_xlfn.TEXTJOIN(", ", TRUE, IF(C106:AB106=1, C$1:AB$1, ""))</f>
        <v>multiple-neg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 ht="68" x14ac:dyDescent="0.2">
      <c r="A107" s="2" t="s">
        <v>117</v>
      </c>
      <c r="B107" s="2" t="str" cm="1">
        <f t="array" ref="B107">_xlfn.TEXTJOIN(", ", TRUE, IF(C107:AB107=1, C$1:AB$1, ""))</f>
        <v>multiple-neg, aint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51" x14ac:dyDescent="0.2">
      <c r="A108" s="4" t="s">
        <v>135</v>
      </c>
      <c r="B108" s="2" t="str" cm="1">
        <f t="array" ref="B108">_xlfn.TEXTJOIN(", ", TRUE, IF(C108:AB108=1, C$1:AB$1, ""))</f>
        <v>zero-copula, zero-3sg-pres-s, appositive-pleonastic-pronoun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 ht="34" x14ac:dyDescent="0.2">
      <c r="A109" s="2" t="s">
        <v>116</v>
      </c>
      <c r="B109" s="2" t="str" cm="1">
        <f t="array" ref="B109">_xlfn.TEXTJOIN(", ", TRUE, IF(C109:AB109=1, C$1:AB$1, ""))</f>
        <v>zero-copula, zero-3sg-pres-s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7" x14ac:dyDescent="0.2">
      <c r="A110" s="4" t="s">
        <v>98</v>
      </c>
      <c r="B110" s="2" t="str" cm="1">
        <f t="array" ref="B110">_xlfn.TEXTJOIN(", ", TRUE, IF(C110:AB110=1, C$1:AB$1, ""))</f>
        <v>double-modal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 ht="17" x14ac:dyDescent="0.2">
      <c r="A111" s="2" t="s">
        <v>99</v>
      </c>
      <c r="B111" s="2" t="str" cm="1">
        <f t="array" ref="B111">_xlfn.TEXTJOIN(", ", TRUE, IF(C111:AB111=1, C$1:AB$1, ""))</f>
        <v>double-modal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7" x14ac:dyDescent="0.2">
      <c r="A112" s="4" t="s">
        <v>119</v>
      </c>
      <c r="B112" s="2" t="str" cm="1">
        <f t="array" ref="B112">_xlfn.TEXTJOIN(", ", TRUE, IF(C112:AB112=1, C$1:AB$1, ""))</f>
        <v>double-modal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</row>
    <row r="113" spans="1:28" ht="34" x14ac:dyDescent="0.2">
      <c r="A113" s="2" t="s">
        <v>100</v>
      </c>
      <c r="B113" s="2" t="str" cm="1">
        <f t="array" ref="B113">_xlfn.TEXTJOIN(", ", TRUE, IF(C113:AB113=1, C$1:AB$1, ""))</f>
        <v>past-tense-swap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</row>
    <row r="114" spans="1:28" ht="51" x14ac:dyDescent="0.2">
      <c r="A114" s="4" t="s">
        <v>101</v>
      </c>
      <c r="B114" s="2" t="str" cm="1">
        <f t="array" ref="B114">_xlfn.TEXTJOIN(", ", TRUE, IF(C114:AB114=1, C$1:AB$1, ""))</f>
        <v>be-construction, demonstrative-them, past-tense-swap</v>
      </c>
      <c r="C114" s="4">
        <v>0</v>
      </c>
      <c r="D114" s="4">
        <v>0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Z114" s="4">
        <v>1</v>
      </c>
      <c r="AA114" s="4">
        <v>0</v>
      </c>
      <c r="AB114" s="4">
        <v>0</v>
      </c>
    </row>
    <row r="115" spans="1:28" ht="68" x14ac:dyDescent="0.2">
      <c r="A115" s="2" t="s">
        <v>102</v>
      </c>
      <c r="B115" s="2" t="str" cm="1">
        <f t="array" ref="B115">_xlfn.TEXTJOIN(", ", TRUE, IF(C115:AB115=1, C$1:AB$1, ""))</f>
        <v>be-construction</v>
      </c>
      <c r="C115" s="2">
        <v>0</v>
      </c>
      <c r="D115" s="2">
        <v>0</v>
      </c>
      <c r="E115" s="2">
        <v>0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 spans="1:28" ht="34" x14ac:dyDescent="0.2">
      <c r="A116" s="4" t="s">
        <v>118</v>
      </c>
      <c r="B116" s="2" t="str" cm="1">
        <f t="array" ref="B116">_xlfn.TEXTJOIN(", ", TRUE, IF(C116:AB116=1, C$1:AB$1, ""))</f>
        <v>verb-stem, zero-rel-pronoun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1</v>
      </c>
      <c r="AB116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AD28-D3B0-E941-8B1E-EFB96A36213E}">
  <dimension ref="A1:XFC118"/>
  <sheetViews>
    <sheetView workbookViewId="0">
      <selection activeCell="L26" sqref="L26"/>
    </sheetView>
  </sheetViews>
  <sheetFormatPr baseColWidth="10" defaultRowHeight="16" x14ac:dyDescent="0.2"/>
  <sheetData>
    <row r="1" spans="1:16383" ht="29" x14ac:dyDescent="0.2">
      <c r="A1" s="7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194</v>
      </c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x14ac:dyDescent="0.2">
      <c r="A2" s="7" t="s">
        <v>143</v>
      </c>
      <c r="B2" s="8">
        <v>5.4400000000000001E-5</v>
      </c>
      <c r="C2" s="7">
        <v>1.0378E-4</v>
      </c>
      <c r="D2" s="8">
        <v>6.6799999999999997E-5</v>
      </c>
      <c r="E2" s="8">
        <v>8.2600000000000002E-5</v>
      </c>
      <c r="F2" s="8">
        <v>5.8499999999999999E-5</v>
      </c>
      <c r="G2" s="8">
        <v>7.1699999999999995E-5</v>
      </c>
      <c r="H2" s="8">
        <v>6.0699999999999998E-5</v>
      </c>
      <c r="I2" s="8">
        <v>9.6199999999999994E-5</v>
      </c>
      <c r="J2" s="7">
        <v>5.0005000000000004E-4</v>
      </c>
      <c r="K2" s="8">
        <v>6.97E-5</v>
      </c>
      <c r="L2" s="8">
        <v>3.9499999999999998E-5</v>
      </c>
      <c r="M2" s="7">
        <v>0.99976390999999998</v>
      </c>
      <c r="N2" s="8">
        <v>5.9299999999999998E-5</v>
      </c>
      <c r="O2" s="7">
        <v>1.1203E-4</v>
      </c>
      <c r="P2" s="8">
        <v>5.6900000000000001E-5</v>
      </c>
      <c r="Q2" s="8">
        <v>5.8300000000000001E-5</v>
      </c>
      <c r="R2" s="8">
        <v>6.1799999999999998E-5</v>
      </c>
    </row>
    <row r="3" spans="1:16383" x14ac:dyDescent="0.2">
      <c r="A3" s="7" t="s">
        <v>144</v>
      </c>
      <c r="B3" s="8">
        <v>9.2599999999999994E-6</v>
      </c>
      <c r="C3" s="7">
        <v>0.97925161999999999</v>
      </c>
      <c r="D3" s="8">
        <v>9.73E-6</v>
      </c>
      <c r="E3" s="8">
        <v>2.5700000000000001E-5</v>
      </c>
      <c r="F3" s="8">
        <v>3.8600000000000003E-5</v>
      </c>
      <c r="G3" s="8">
        <v>1.2999999999999999E-5</v>
      </c>
      <c r="H3" s="8">
        <v>3.1399999999999998E-5</v>
      </c>
      <c r="I3" s="8">
        <v>1.26E-5</v>
      </c>
      <c r="J3" s="8">
        <v>6.3100000000000002E-5</v>
      </c>
      <c r="K3" s="8">
        <v>1.91E-5</v>
      </c>
      <c r="L3" s="8">
        <v>7.7300000000000005E-6</v>
      </c>
      <c r="M3" s="7">
        <v>0.10188580999999999</v>
      </c>
      <c r="N3" s="8">
        <v>1.33E-5</v>
      </c>
      <c r="O3" s="8">
        <v>3.7799999999999997E-5</v>
      </c>
      <c r="P3" s="8">
        <v>1.8600000000000001E-5</v>
      </c>
      <c r="Q3" s="8">
        <v>1.1E-5</v>
      </c>
      <c r="R3" s="8">
        <v>1.1399999999999999E-5</v>
      </c>
    </row>
    <row r="4" spans="1:16383" x14ac:dyDescent="0.2">
      <c r="A4" s="7" t="s">
        <v>29</v>
      </c>
      <c r="B4" s="7">
        <v>1.3737999999999999E-4</v>
      </c>
      <c r="C4" s="7">
        <v>0.57252281999999999</v>
      </c>
      <c r="D4" s="8">
        <v>3.96E-5</v>
      </c>
      <c r="E4" s="7">
        <v>0.99098867000000002</v>
      </c>
      <c r="F4" s="8">
        <v>3.6199999999999999E-5</v>
      </c>
      <c r="G4" s="8">
        <v>6.9499999999999995E-5</v>
      </c>
      <c r="H4" s="8">
        <v>2.8399999999999999E-5</v>
      </c>
      <c r="I4" s="8">
        <v>3.1000000000000001E-5</v>
      </c>
      <c r="J4" s="8">
        <v>3.6199999999999999E-5</v>
      </c>
      <c r="K4" s="8">
        <v>2.6800000000000001E-5</v>
      </c>
      <c r="L4" s="8">
        <v>2.6400000000000001E-5</v>
      </c>
      <c r="M4" s="8">
        <v>3.3000000000000003E-5</v>
      </c>
      <c r="N4" s="7">
        <v>4.9470000000000004E-4</v>
      </c>
      <c r="O4" s="8">
        <v>4.0399999999999999E-5</v>
      </c>
      <c r="P4" s="8">
        <v>8.3100000000000001E-5</v>
      </c>
      <c r="Q4" s="8">
        <v>1.77E-5</v>
      </c>
      <c r="R4" s="8">
        <v>2.1699999999999999E-5</v>
      </c>
    </row>
    <row r="5" spans="1:16383" x14ac:dyDescent="0.2">
      <c r="A5" s="7" t="s">
        <v>30</v>
      </c>
      <c r="B5" s="7">
        <v>1.0969E-4</v>
      </c>
      <c r="C5" s="7">
        <v>3.3862999999999997E-4</v>
      </c>
      <c r="D5" s="8">
        <v>5.38E-5</v>
      </c>
      <c r="E5" s="7">
        <v>0.99916720000000003</v>
      </c>
      <c r="F5" s="8">
        <v>3.57E-5</v>
      </c>
      <c r="G5" s="8">
        <v>8.4300000000000003E-5</v>
      </c>
      <c r="H5" s="8">
        <v>3.96E-5</v>
      </c>
      <c r="I5" s="8">
        <v>3.3200000000000001E-5</v>
      </c>
      <c r="J5" s="7">
        <v>1.0224E-4</v>
      </c>
      <c r="K5" s="8">
        <v>3.0199999999999999E-5</v>
      </c>
      <c r="L5" s="8">
        <v>6.5699999999999998E-5</v>
      </c>
      <c r="M5" s="8">
        <v>3.6100000000000003E-5</v>
      </c>
      <c r="N5" s="7">
        <v>1.1546E-4</v>
      </c>
      <c r="O5" s="8">
        <v>6.4399999999999993E-5</v>
      </c>
      <c r="P5" s="8">
        <v>5.3999999999999998E-5</v>
      </c>
      <c r="Q5" s="8">
        <v>4.7700000000000001E-5</v>
      </c>
      <c r="R5" s="8">
        <v>5.5099999999999998E-5</v>
      </c>
    </row>
    <row r="6" spans="1:16383" x14ac:dyDescent="0.2">
      <c r="A6" s="7" t="s">
        <v>145</v>
      </c>
      <c r="B6" s="8">
        <v>3.0299999999999998E-6</v>
      </c>
      <c r="C6" s="8">
        <v>1.48E-6</v>
      </c>
      <c r="D6" s="8">
        <v>3.1499999999999999E-6</v>
      </c>
      <c r="E6" s="7">
        <v>3.3276999999999997E-4</v>
      </c>
      <c r="F6" s="8">
        <v>1.7600000000000001E-6</v>
      </c>
      <c r="G6" s="8">
        <v>3.2899999999999998E-6</v>
      </c>
      <c r="H6" s="8">
        <v>1.1000000000000001E-6</v>
      </c>
      <c r="I6" s="8">
        <v>1.77E-6</v>
      </c>
      <c r="J6" s="8">
        <v>2.1699999999999999E-5</v>
      </c>
      <c r="K6" s="8">
        <v>1.66E-6</v>
      </c>
      <c r="L6" s="8">
        <v>4.1099999999999996E-6</v>
      </c>
      <c r="M6" s="8">
        <v>2.2699999999999999E-6</v>
      </c>
      <c r="N6" s="8">
        <v>3.7500000000000001E-6</v>
      </c>
      <c r="O6" s="8">
        <v>1.8899999999999999E-6</v>
      </c>
      <c r="P6" s="8">
        <v>6.8299999999999998E-6</v>
      </c>
      <c r="Q6" s="8">
        <v>3.9299999999999996E-6</v>
      </c>
      <c r="R6" s="8">
        <v>3.2799999999999999E-6</v>
      </c>
    </row>
    <row r="7" spans="1:16383" x14ac:dyDescent="0.2">
      <c r="A7" s="7" t="s">
        <v>31</v>
      </c>
      <c r="B7" s="8">
        <v>6.9300000000000004E-5</v>
      </c>
      <c r="C7" s="7">
        <v>4.1353000000000001E-4</v>
      </c>
      <c r="D7" s="8">
        <v>3.82E-5</v>
      </c>
      <c r="E7" s="7">
        <v>0.32568765</v>
      </c>
      <c r="F7" s="7">
        <v>0.96476435999999999</v>
      </c>
      <c r="G7" s="8">
        <v>5.9599999999999999E-5</v>
      </c>
      <c r="H7" s="8">
        <v>5.7299999999999997E-5</v>
      </c>
      <c r="I7" s="8">
        <v>1.8899999999999999E-5</v>
      </c>
      <c r="J7" s="7">
        <v>1.0094000000000001E-4</v>
      </c>
      <c r="K7" s="8">
        <v>3.6600000000000002E-5</v>
      </c>
      <c r="L7" s="8">
        <v>5.0000000000000002E-5</v>
      </c>
      <c r="M7" s="8">
        <v>3.3000000000000003E-5</v>
      </c>
      <c r="N7" s="8">
        <v>3.3800000000000002E-5</v>
      </c>
      <c r="O7" s="8">
        <v>4.88E-5</v>
      </c>
      <c r="P7" s="8">
        <v>3.65E-5</v>
      </c>
      <c r="Q7" s="8">
        <v>3.4E-5</v>
      </c>
      <c r="R7" s="8">
        <v>4.7500000000000003E-5</v>
      </c>
    </row>
    <row r="8" spans="1:16383" x14ac:dyDescent="0.2">
      <c r="A8" s="7" t="s">
        <v>146</v>
      </c>
      <c r="B8" s="8">
        <v>7.17E-6</v>
      </c>
      <c r="C8" s="8">
        <v>1.75E-6</v>
      </c>
      <c r="D8" s="8">
        <v>1.0200000000000001E-5</v>
      </c>
      <c r="E8" s="7">
        <v>2.636078E-2</v>
      </c>
      <c r="F8" s="8">
        <v>1.44E-6</v>
      </c>
      <c r="G8" s="8">
        <v>8.8100000000000004E-6</v>
      </c>
      <c r="H8" s="8">
        <v>5.2599999999999996E-6</v>
      </c>
      <c r="I8" s="8">
        <v>2.2299999999999998E-6</v>
      </c>
      <c r="J8" s="7">
        <v>1.7639299999999999E-3</v>
      </c>
      <c r="K8" s="8">
        <v>2.4200000000000001E-6</v>
      </c>
      <c r="L8" s="8">
        <v>1.24E-5</v>
      </c>
      <c r="M8" s="8">
        <v>1.5699999999999999E-5</v>
      </c>
      <c r="N8" s="8">
        <v>4.3699999999999997E-6</v>
      </c>
      <c r="O8" s="8">
        <v>1.15E-6</v>
      </c>
      <c r="P8" s="8">
        <v>7.2699999999999999E-6</v>
      </c>
      <c r="Q8" s="8">
        <v>5.1000000000000003E-6</v>
      </c>
      <c r="R8" s="8">
        <v>6.1199999999999999E-6</v>
      </c>
    </row>
    <row r="9" spans="1:16383" x14ac:dyDescent="0.2">
      <c r="A9" s="7" t="s">
        <v>147</v>
      </c>
      <c r="B9" s="8">
        <v>6.1199999999999997E-5</v>
      </c>
      <c r="C9" s="7">
        <v>0.24475530000000001</v>
      </c>
      <c r="D9" s="8">
        <v>5.94E-5</v>
      </c>
      <c r="E9" s="7">
        <v>0.98926418999999999</v>
      </c>
      <c r="F9" s="8">
        <v>4.6300000000000001E-5</v>
      </c>
      <c r="G9" s="8">
        <v>3.6399999999999997E-5</v>
      </c>
      <c r="H9" s="8">
        <v>2.6299999999999999E-5</v>
      </c>
      <c r="I9" s="8">
        <v>3.1300000000000002E-5</v>
      </c>
      <c r="J9" s="8">
        <v>3.68E-5</v>
      </c>
      <c r="K9" s="8">
        <v>3.6300000000000001E-5</v>
      </c>
      <c r="L9" s="8">
        <v>2.7500000000000001E-5</v>
      </c>
      <c r="M9" s="8">
        <v>1.45E-5</v>
      </c>
      <c r="N9" s="8">
        <v>9.3599999999999998E-5</v>
      </c>
      <c r="O9" s="7">
        <v>1.0757E-4</v>
      </c>
      <c r="P9" s="8">
        <v>4.5800000000000002E-5</v>
      </c>
      <c r="Q9" s="8">
        <v>2.0999999999999999E-5</v>
      </c>
      <c r="R9" s="7">
        <v>5.2605520000000003E-2</v>
      </c>
    </row>
    <row r="10" spans="1:16383" x14ac:dyDescent="0.2">
      <c r="A10" s="7" t="s">
        <v>148</v>
      </c>
      <c r="B10" s="8">
        <v>6.9800000000000003E-5</v>
      </c>
      <c r="C10" s="7">
        <v>1.2891000000000001E-4</v>
      </c>
      <c r="D10" s="8">
        <v>5.7000000000000003E-5</v>
      </c>
      <c r="E10" s="7">
        <v>0.99919778000000004</v>
      </c>
      <c r="F10" s="8">
        <v>5.9899999999999999E-5</v>
      </c>
      <c r="G10" s="8">
        <v>5.7500000000000002E-5</v>
      </c>
      <c r="H10" s="8">
        <v>4.5599999999999997E-5</v>
      </c>
      <c r="I10" s="8">
        <v>4.1499999999999999E-5</v>
      </c>
      <c r="J10" s="8">
        <v>9.5699999999999995E-5</v>
      </c>
      <c r="K10" s="8">
        <v>6.9499999999999995E-5</v>
      </c>
      <c r="L10" s="8">
        <v>7.8800000000000004E-5</v>
      </c>
      <c r="M10" s="8">
        <v>2.5000000000000001E-5</v>
      </c>
      <c r="N10" s="7">
        <v>2.1384E-4</v>
      </c>
      <c r="O10" s="7">
        <v>1.183E-4</v>
      </c>
      <c r="P10" s="7">
        <v>1.0598E-4</v>
      </c>
      <c r="Q10" s="8">
        <v>5.7800000000000002E-5</v>
      </c>
      <c r="R10" s="7">
        <v>1.8767899999999999E-3</v>
      </c>
    </row>
    <row r="11" spans="1:16383" x14ac:dyDescent="0.2">
      <c r="A11" s="7" t="s">
        <v>35</v>
      </c>
      <c r="B11" s="7">
        <v>1.0086000000000001E-4</v>
      </c>
      <c r="C11" s="7">
        <v>4.6863999999999999E-4</v>
      </c>
      <c r="D11" s="8">
        <v>3.7299999999999999E-5</v>
      </c>
      <c r="E11" s="7">
        <v>0.99937134999999999</v>
      </c>
      <c r="F11" s="8">
        <v>7.9599999999999997E-5</v>
      </c>
      <c r="G11" s="8">
        <v>3.9499999999999998E-5</v>
      </c>
      <c r="H11" s="8">
        <v>6.6600000000000006E-5</v>
      </c>
      <c r="I11" s="8">
        <v>5.24E-5</v>
      </c>
      <c r="J11" s="8">
        <v>9.2600000000000001E-5</v>
      </c>
      <c r="K11" s="8">
        <v>7.0300000000000001E-5</v>
      </c>
      <c r="L11" s="8">
        <v>5.8900000000000002E-5</v>
      </c>
      <c r="M11" s="8">
        <v>7.8700000000000002E-5</v>
      </c>
      <c r="N11" s="7">
        <v>4.4537999999999999E-4</v>
      </c>
      <c r="O11" s="7">
        <v>1.0388E-4</v>
      </c>
      <c r="P11" s="8">
        <v>6.5900000000000003E-5</v>
      </c>
      <c r="Q11" s="8">
        <v>3.7700000000000002E-5</v>
      </c>
      <c r="R11" s="8">
        <v>6.2500000000000001E-5</v>
      </c>
    </row>
    <row r="12" spans="1:16383" x14ac:dyDescent="0.2">
      <c r="A12" s="7" t="s">
        <v>149</v>
      </c>
      <c r="B12" s="8">
        <v>2.44E-5</v>
      </c>
      <c r="C12" s="8">
        <v>1.27E-5</v>
      </c>
      <c r="D12" s="8">
        <v>1.24E-5</v>
      </c>
      <c r="E12" s="7">
        <v>1.5140999999999999E-4</v>
      </c>
      <c r="F12" s="8">
        <v>1.5299999999999999E-5</v>
      </c>
      <c r="G12" s="8">
        <v>1.7399999999999999E-5</v>
      </c>
      <c r="H12" s="8">
        <v>1.9700000000000001E-5</v>
      </c>
      <c r="I12" s="8">
        <v>1.5699999999999999E-5</v>
      </c>
      <c r="J12" s="7">
        <v>0.99954825999999997</v>
      </c>
      <c r="K12" s="7">
        <v>1.0623E-4</v>
      </c>
      <c r="L12" s="8">
        <v>2.12E-5</v>
      </c>
      <c r="M12" s="7">
        <v>1.5364999999999999E-4</v>
      </c>
      <c r="N12" s="8">
        <v>3.4700000000000003E-5</v>
      </c>
      <c r="O12" s="8">
        <v>6.6000000000000003E-6</v>
      </c>
      <c r="P12" s="8">
        <v>3.6199999999999999E-5</v>
      </c>
      <c r="Q12" s="8">
        <v>1.8199999999999999E-5</v>
      </c>
      <c r="R12" s="8">
        <v>1.04E-5</v>
      </c>
    </row>
    <row r="13" spans="1:16383" x14ac:dyDescent="0.2">
      <c r="A13" s="7" t="s">
        <v>37</v>
      </c>
      <c r="B13" s="8">
        <v>8.5099999999999998E-6</v>
      </c>
      <c r="C13" s="8">
        <v>9.8600000000000005E-6</v>
      </c>
      <c r="D13" s="8">
        <v>5.0699999999999997E-6</v>
      </c>
      <c r="E13" s="7">
        <v>8.3714099999999993E-3</v>
      </c>
      <c r="F13" s="8">
        <v>5.0300000000000001E-6</v>
      </c>
      <c r="G13" s="8">
        <v>9.1400000000000006E-6</v>
      </c>
      <c r="H13" s="8">
        <v>4.1300000000000003E-6</v>
      </c>
      <c r="I13" s="8">
        <v>9.6600000000000007E-6</v>
      </c>
      <c r="J13" s="8">
        <v>6.1800000000000001E-6</v>
      </c>
      <c r="K13" s="8">
        <v>3.18E-6</v>
      </c>
      <c r="L13" s="8">
        <v>4.5700000000000003E-6</v>
      </c>
      <c r="M13" s="8">
        <v>1.4699999999999999E-6</v>
      </c>
      <c r="N13" s="8">
        <v>4.4299999999999999E-6</v>
      </c>
      <c r="O13" s="8">
        <v>1.3E-6</v>
      </c>
      <c r="P13" s="8">
        <v>4.8199999999999996E-6</v>
      </c>
      <c r="Q13" s="8">
        <v>2.1399999999999998E-6</v>
      </c>
      <c r="R13" s="8">
        <v>4.6700000000000002E-6</v>
      </c>
    </row>
    <row r="14" spans="1:16383" x14ac:dyDescent="0.2">
      <c r="A14" s="7" t="s">
        <v>38</v>
      </c>
      <c r="B14" s="8">
        <v>8.2299999999999995E-5</v>
      </c>
      <c r="C14" s="7">
        <v>1.4009E-4</v>
      </c>
      <c r="D14" s="8">
        <v>8.1199999999999995E-5</v>
      </c>
      <c r="E14" s="7">
        <v>0.99955088000000003</v>
      </c>
      <c r="F14" s="8">
        <v>5.4500000000000003E-5</v>
      </c>
      <c r="G14" s="8">
        <v>8.6100000000000006E-5</v>
      </c>
      <c r="H14" s="8">
        <v>6.9200000000000002E-5</v>
      </c>
      <c r="I14" s="8">
        <v>5.0000000000000002E-5</v>
      </c>
      <c r="J14" s="7">
        <v>1.0043999999999999E-4</v>
      </c>
      <c r="K14" s="8">
        <v>5.8600000000000001E-5</v>
      </c>
      <c r="L14" s="8">
        <v>7.8800000000000004E-5</v>
      </c>
      <c r="M14" s="8">
        <v>6.4499999999999996E-5</v>
      </c>
      <c r="N14" s="8">
        <v>8.7499999999999999E-5</v>
      </c>
      <c r="O14" s="8">
        <v>7.5099999999999996E-5</v>
      </c>
      <c r="P14" s="8">
        <v>7.2600000000000003E-5</v>
      </c>
      <c r="Q14" s="7">
        <v>1.1059E-4</v>
      </c>
      <c r="R14" s="8">
        <v>7.1400000000000001E-5</v>
      </c>
    </row>
    <row r="15" spans="1:16383" x14ac:dyDescent="0.2">
      <c r="A15" s="7" t="s">
        <v>39</v>
      </c>
      <c r="B15" s="8">
        <v>2.2199999999999999E-6</v>
      </c>
      <c r="C15" s="8">
        <v>6.1800000000000001E-6</v>
      </c>
      <c r="D15" s="8">
        <v>2.4899999999999999E-6</v>
      </c>
      <c r="E15" s="8">
        <v>2.0800000000000001E-5</v>
      </c>
      <c r="F15" s="8">
        <v>4.7999999999999998E-6</v>
      </c>
      <c r="G15" s="8">
        <v>2.8200000000000001E-6</v>
      </c>
      <c r="H15" s="8">
        <v>2.02E-5</v>
      </c>
      <c r="I15" s="8">
        <v>9.4900000000000004E-7</v>
      </c>
      <c r="J15" s="8">
        <v>1.46E-6</v>
      </c>
      <c r="K15" s="8">
        <v>9.2999999999999999E-7</v>
      </c>
      <c r="L15" s="8">
        <v>2.3499999999999999E-6</v>
      </c>
      <c r="M15" s="8">
        <v>3.72E-6</v>
      </c>
      <c r="N15" s="8">
        <v>1.0699999999999999E-5</v>
      </c>
      <c r="O15" s="8">
        <v>1.04E-5</v>
      </c>
      <c r="P15" s="8">
        <v>4.2100000000000003E-6</v>
      </c>
      <c r="Q15" s="8">
        <v>8.7299999999999994E-6</v>
      </c>
      <c r="R15" s="8">
        <v>1.4899999999999999E-6</v>
      </c>
    </row>
    <row r="16" spans="1:16383" x14ac:dyDescent="0.2">
      <c r="A16" s="7" t="s">
        <v>40</v>
      </c>
      <c r="B16" s="7">
        <v>2.0886869999999998E-2</v>
      </c>
      <c r="C16" s="8">
        <v>6.8100000000000002E-5</v>
      </c>
      <c r="D16" s="8">
        <v>1.7799999999999999E-6</v>
      </c>
      <c r="E16" s="8">
        <v>9.87E-5</v>
      </c>
      <c r="F16" s="8">
        <v>2.0600000000000002E-6</v>
      </c>
      <c r="G16" s="8">
        <v>6.5400000000000001E-6</v>
      </c>
      <c r="H16" s="8">
        <v>2.7199999999999998E-6</v>
      </c>
      <c r="I16" s="8">
        <v>3.7400000000000002E-6</v>
      </c>
      <c r="J16" s="8">
        <v>3.5499999999999999E-6</v>
      </c>
      <c r="K16" s="8">
        <v>3.2799999999999999E-6</v>
      </c>
      <c r="L16" s="8">
        <v>2.04E-6</v>
      </c>
      <c r="M16" s="8">
        <v>2.2400000000000002E-6</v>
      </c>
      <c r="N16" s="8">
        <v>5.1399999999999999E-6</v>
      </c>
      <c r="O16" s="8">
        <v>1.0900000000000001E-5</v>
      </c>
      <c r="P16" s="8">
        <v>3.0000000000000001E-6</v>
      </c>
      <c r="Q16" s="8">
        <v>1.66E-6</v>
      </c>
      <c r="R16" s="8">
        <v>3.7000000000000002E-6</v>
      </c>
    </row>
    <row r="17" spans="1:18" x14ac:dyDescent="0.2">
      <c r="A17" s="7" t="s">
        <v>41</v>
      </c>
      <c r="B17" s="8">
        <v>8.3700000000000002E-5</v>
      </c>
      <c r="C17" s="7">
        <v>2.7072000000000001E-4</v>
      </c>
      <c r="D17" s="7">
        <v>1.5218E-4</v>
      </c>
      <c r="E17" s="8">
        <v>9.1399999999999999E-5</v>
      </c>
      <c r="F17" s="7">
        <v>0.99969637</v>
      </c>
      <c r="G17" s="8">
        <v>7.1400000000000001E-5</v>
      </c>
      <c r="H17" s="8">
        <v>8.6000000000000003E-5</v>
      </c>
      <c r="I17" s="8">
        <v>8.7800000000000006E-5</v>
      </c>
      <c r="J17" s="7">
        <v>1.5673E-4</v>
      </c>
      <c r="K17" s="8">
        <v>9.4699999999999998E-5</v>
      </c>
      <c r="L17" s="8">
        <v>7.1899999999999999E-5</v>
      </c>
      <c r="M17" s="8">
        <v>7.5300000000000001E-5</v>
      </c>
      <c r="N17" s="7">
        <v>1.2416E-4</v>
      </c>
      <c r="O17" s="7">
        <v>1.2289000000000001E-4</v>
      </c>
      <c r="P17" s="7">
        <v>1.4074000000000001E-4</v>
      </c>
      <c r="Q17" s="7">
        <v>1.2108E-4</v>
      </c>
      <c r="R17" s="7">
        <v>1.0779E-4</v>
      </c>
    </row>
    <row r="18" spans="1:18" x14ac:dyDescent="0.2">
      <c r="A18" s="7" t="s">
        <v>42</v>
      </c>
      <c r="B18" s="8">
        <v>9.3399999999999993E-5</v>
      </c>
      <c r="C18" s="7">
        <v>2.9023999999999999E-4</v>
      </c>
      <c r="D18" s="7">
        <v>1.3428E-4</v>
      </c>
      <c r="E18" s="7">
        <v>1.2286E-4</v>
      </c>
      <c r="F18" s="7">
        <v>0.99962890000000004</v>
      </c>
      <c r="G18" s="8">
        <v>7.5199999999999998E-5</v>
      </c>
      <c r="H18" s="8">
        <v>9.8300000000000004E-5</v>
      </c>
      <c r="I18" s="8">
        <v>7.2799999999999994E-5</v>
      </c>
      <c r="J18" s="7">
        <v>1.0632E-4</v>
      </c>
      <c r="K18" s="7">
        <v>1.0101E-4</v>
      </c>
      <c r="L18" s="8">
        <v>6.4499999999999996E-5</v>
      </c>
      <c r="M18" s="8">
        <v>5.8900000000000002E-5</v>
      </c>
      <c r="N18" s="8">
        <v>9.9599999999999995E-5</v>
      </c>
      <c r="O18" s="8">
        <v>9.5000000000000005E-5</v>
      </c>
      <c r="P18" s="7">
        <v>1.1935E-4</v>
      </c>
      <c r="Q18" s="7">
        <v>1.1586000000000001E-4</v>
      </c>
      <c r="R18" s="7">
        <v>1.2029E-4</v>
      </c>
    </row>
    <row r="19" spans="1:18" x14ac:dyDescent="0.2">
      <c r="A19" s="7" t="s">
        <v>43</v>
      </c>
      <c r="B19" s="8">
        <v>9.0199999999999997E-5</v>
      </c>
      <c r="C19" s="7">
        <v>1.4972999999999999E-4</v>
      </c>
      <c r="D19" s="8">
        <v>3.9199999999999997E-5</v>
      </c>
      <c r="E19" s="7">
        <v>5.0919800000000001E-2</v>
      </c>
      <c r="F19" s="7">
        <v>0.99246466</v>
      </c>
      <c r="G19" s="8">
        <v>5.2599999999999998E-5</v>
      </c>
      <c r="H19" s="8">
        <v>6.5199999999999999E-5</v>
      </c>
      <c r="I19" s="8">
        <v>2.48E-5</v>
      </c>
      <c r="J19" s="7">
        <v>1.0980999999999999E-4</v>
      </c>
      <c r="K19" s="8">
        <v>3.0800000000000003E-5</v>
      </c>
      <c r="L19" s="8">
        <v>6.9099999999999999E-5</v>
      </c>
      <c r="M19" s="8">
        <v>5.7099999999999999E-5</v>
      </c>
      <c r="N19" s="8">
        <v>2.62E-5</v>
      </c>
      <c r="O19" s="8">
        <v>7.7600000000000002E-5</v>
      </c>
      <c r="P19" s="8">
        <v>5.5000000000000002E-5</v>
      </c>
      <c r="Q19" s="8">
        <v>5.77E-5</v>
      </c>
      <c r="R19" s="8">
        <v>4.8099999999999997E-5</v>
      </c>
    </row>
    <row r="20" spans="1:18" x14ac:dyDescent="0.2">
      <c r="A20" s="7" t="s">
        <v>44</v>
      </c>
      <c r="B20" s="8">
        <v>2.8799999999999999E-5</v>
      </c>
      <c r="C20" s="7">
        <v>7.8717999999999995E-4</v>
      </c>
      <c r="D20" s="8">
        <v>4.3999999999999999E-5</v>
      </c>
      <c r="E20" s="7">
        <v>3.1658249999999999E-2</v>
      </c>
      <c r="F20" s="7">
        <v>0.99312144999999996</v>
      </c>
      <c r="G20" s="8">
        <v>7.2799999999999994E-5</v>
      </c>
      <c r="H20" s="8">
        <v>3.9900000000000001E-5</v>
      </c>
      <c r="I20" s="8">
        <v>1.59E-5</v>
      </c>
      <c r="J20" s="7">
        <v>1.8195E-4</v>
      </c>
      <c r="K20" s="8">
        <v>3.15E-5</v>
      </c>
      <c r="L20" s="8">
        <v>4.8999999999999998E-5</v>
      </c>
      <c r="M20" s="8">
        <v>5.1799999999999999E-5</v>
      </c>
      <c r="N20" s="8">
        <v>6.9400000000000006E-5</v>
      </c>
      <c r="O20" s="8">
        <v>4.4400000000000002E-5</v>
      </c>
      <c r="P20" s="8">
        <v>3.93E-5</v>
      </c>
      <c r="Q20" s="8">
        <v>4.1499999999999999E-5</v>
      </c>
      <c r="R20" s="8">
        <v>6.8200000000000004E-5</v>
      </c>
    </row>
    <row r="21" spans="1:18" x14ac:dyDescent="0.2">
      <c r="A21" s="7" t="s">
        <v>150</v>
      </c>
      <c r="B21" s="8">
        <v>8.8300000000000002E-6</v>
      </c>
      <c r="C21" s="8">
        <v>1.0000000000000001E-5</v>
      </c>
      <c r="D21" s="8">
        <v>1.95E-5</v>
      </c>
      <c r="E21" s="8">
        <v>4.8900000000000003E-5</v>
      </c>
      <c r="F21" s="7">
        <v>0.54785251999999995</v>
      </c>
      <c r="G21" s="8">
        <v>2.73E-5</v>
      </c>
      <c r="H21" s="8">
        <v>4.3900000000000003E-5</v>
      </c>
      <c r="I21" s="8">
        <v>2.6100000000000001E-5</v>
      </c>
      <c r="J21" s="7">
        <v>0.97567672000000005</v>
      </c>
      <c r="K21" s="8">
        <v>5.52E-5</v>
      </c>
      <c r="L21" s="7">
        <v>3.3230999999999999E-4</v>
      </c>
      <c r="M21" s="8">
        <v>7.8700000000000002E-5</v>
      </c>
      <c r="N21" s="8">
        <v>1.6699999999999999E-5</v>
      </c>
      <c r="O21" s="8">
        <v>1.84E-5</v>
      </c>
      <c r="P21" s="8">
        <v>1.7900000000000001E-5</v>
      </c>
      <c r="Q21" s="8">
        <v>2.83E-5</v>
      </c>
      <c r="R21" s="8">
        <v>4.1300000000000001E-5</v>
      </c>
    </row>
    <row r="22" spans="1:18" x14ac:dyDescent="0.2">
      <c r="A22" s="7" t="s">
        <v>151</v>
      </c>
      <c r="B22" s="8">
        <v>2.9300000000000001E-5</v>
      </c>
      <c r="C22" s="8">
        <v>4.3600000000000003E-5</v>
      </c>
      <c r="D22" s="8">
        <v>2.5599999999999999E-5</v>
      </c>
      <c r="E22" s="7">
        <v>1.7410229999999999E-2</v>
      </c>
      <c r="F22" s="7">
        <v>0.97895491000000001</v>
      </c>
      <c r="G22" s="8">
        <v>3.3599999999999997E-5</v>
      </c>
      <c r="H22" s="8">
        <v>5.8199999999999998E-5</v>
      </c>
      <c r="I22" s="8">
        <v>1.6500000000000001E-5</v>
      </c>
      <c r="J22" s="7">
        <v>1.1689E-4</v>
      </c>
      <c r="K22" s="8">
        <v>2.7500000000000001E-5</v>
      </c>
      <c r="L22" s="8">
        <v>3.43E-5</v>
      </c>
      <c r="M22" s="8">
        <v>4.49E-5</v>
      </c>
      <c r="N22" s="8">
        <v>2.34E-5</v>
      </c>
      <c r="O22" s="8">
        <v>8.5199999999999997E-5</v>
      </c>
      <c r="P22" s="8">
        <v>3.2100000000000001E-5</v>
      </c>
      <c r="Q22" s="8">
        <v>3.4700000000000003E-5</v>
      </c>
      <c r="R22" s="8">
        <v>4.0899999999999998E-5</v>
      </c>
    </row>
    <row r="23" spans="1:18" x14ac:dyDescent="0.2">
      <c r="A23" s="7" t="s">
        <v>141</v>
      </c>
      <c r="B23" s="8">
        <v>6.1600000000000007E-5</v>
      </c>
      <c r="C23" s="7">
        <v>3.1688000000000002E-4</v>
      </c>
      <c r="D23" s="8">
        <v>6.6099999999999994E-5</v>
      </c>
      <c r="E23" s="7">
        <v>3.9304110000000003E-2</v>
      </c>
      <c r="F23" s="7">
        <v>0.99234951000000005</v>
      </c>
      <c r="G23" s="8">
        <v>5.7800000000000002E-5</v>
      </c>
      <c r="H23" s="8">
        <v>6.0099999999999997E-5</v>
      </c>
      <c r="I23" s="8">
        <v>2.2399999999999999E-5</v>
      </c>
      <c r="J23" s="7">
        <v>1.2697000000000001E-4</v>
      </c>
      <c r="K23" s="8">
        <v>2.41E-5</v>
      </c>
      <c r="L23" s="8">
        <v>7.0300000000000001E-5</v>
      </c>
      <c r="M23" s="8">
        <v>3.29E-5</v>
      </c>
      <c r="N23" s="8">
        <v>5.2200000000000002E-5</v>
      </c>
      <c r="O23" s="8">
        <v>5.38E-5</v>
      </c>
      <c r="P23" s="8">
        <v>4.5000000000000003E-5</v>
      </c>
      <c r="Q23" s="8">
        <v>3.1399999999999998E-5</v>
      </c>
      <c r="R23" s="8">
        <v>5.2800000000000003E-5</v>
      </c>
    </row>
    <row r="24" spans="1:18" x14ac:dyDescent="0.2">
      <c r="A24" s="7" t="s">
        <v>46</v>
      </c>
      <c r="B24" s="8">
        <v>8.9400000000000005E-5</v>
      </c>
      <c r="C24" s="7">
        <v>1.6487000000000001E-4</v>
      </c>
      <c r="D24" s="7">
        <v>1.7207E-4</v>
      </c>
      <c r="E24" s="7">
        <v>1.036E-4</v>
      </c>
      <c r="F24" s="7">
        <v>0.99959081000000005</v>
      </c>
      <c r="G24" s="8">
        <v>6.2799999999999995E-5</v>
      </c>
      <c r="H24" s="8">
        <v>9.1600000000000004E-5</v>
      </c>
      <c r="I24" s="8">
        <v>6.3299999999999994E-5</v>
      </c>
      <c r="J24" s="7">
        <v>1.4092E-4</v>
      </c>
      <c r="K24" s="8">
        <v>8.4800000000000001E-5</v>
      </c>
      <c r="L24" s="8">
        <v>7.5900000000000002E-5</v>
      </c>
      <c r="M24" s="7">
        <v>1.1340000000000001E-4</v>
      </c>
      <c r="N24" s="8">
        <v>8.4300000000000003E-5</v>
      </c>
      <c r="O24" s="8">
        <v>9.6799999999999995E-5</v>
      </c>
      <c r="P24" s="7">
        <v>1.189E-4</v>
      </c>
      <c r="Q24" s="7">
        <v>1.1011E-4</v>
      </c>
      <c r="R24" s="8">
        <v>8.8999999999999995E-5</v>
      </c>
    </row>
    <row r="25" spans="1:18" x14ac:dyDescent="0.2">
      <c r="A25" s="7" t="s">
        <v>48</v>
      </c>
      <c r="B25" s="7">
        <v>1.0394E-4</v>
      </c>
      <c r="C25" s="7">
        <v>3.0050999999999998E-4</v>
      </c>
      <c r="D25" s="8">
        <v>7.1400000000000001E-5</v>
      </c>
      <c r="E25" s="7">
        <v>6.3482999999999996E-4</v>
      </c>
      <c r="F25" s="7">
        <v>0.99929201999999995</v>
      </c>
      <c r="G25" s="8">
        <v>5.3699999999999997E-5</v>
      </c>
      <c r="H25" s="8">
        <v>7.2999999999999999E-5</v>
      </c>
      <c r="I25" s="8">
        <v>5.8499999999999999E-5</v>
      </c>
      <c r="J25" s="7">
        <v>1.3363000000000001E-4</v>
      </c>
      <c r="K25" s="8">
        <v>6.8100000000000002E-5</v>
      </c>
      <c r="L25" s="8">
        <v>5.5600000000000003E-5</v>
      </c>
      <c r="M25" s="8">
        <v>7.8700000000000002E-5</v>
      </c>
      <c r="N25" s="8">
        <v>5.2899999999999998E-5</v>
      </c>
      <c r="O25" s="8">
        <v>5.9599999999999999E-5</v>
      </c>
      <c r="P25" s="8">
        <v>6.9800000000000003E-5</v>
      </c>
      <c r="Q25" s="8">
        <v>5.8999999999999998E-5</v>
      </c>
      <c r="R25" s="8">
        <v>9.7600000000000001E-5</v>
      </c>
    </row>
    <row r="26" spans="1:18" x14ac:dyDescent="0.2">
      <c r="A26" s="7" t="s">
        <v>152</v>
      </c>
      <c r="B26" s="7">
        <v>1.024E-4</v>
      </c>
      <c r="C26" s="7">
        <v>1.1731E-4</v>
      </c>
      <c r="D26" s="8">
        <v>4.1600000000000002E-5</v>
      </c>
      <c r="E26" s="7">
        <v>0.99761116999999999</v>
      </c>
      <c r="F26" s="8">
        <v>2.55E-5</v>
      </c>
      <c r="G26" s="8">
        <v>3.0000000000000001E-5</v>
      </c>
      <c r="H26" s="8">
        <v>3.5899999999999998E-5</v>
      </c>
      <c r="I26" s="8">
        <v>2.0999999999999999E-5</v>
      </c>
      <c r="J26" s="8">
        <v>7.6699999999999994E-5</v>
      </c>
      <c r="K26" s="8">
        <v>2.3600000000000001E-5</v>
      </c>
      <c r="L26" s="8">
        <v>4.7500000000000003E-5</v>
      </c>
      <c r="M26" s="8">
        <v>2.7800000000000001E-5</v>
      </c>
      <c r="N26" s="8">
        <v>7.7399999999999998E-5</v>
      </c>
      <c r="O26" s="8">
        <v>2.8099999999999999E-5</v>
      </c>
      <c r="P26" s="8">
        <v>6.9599999999999998E-5</v>
      </c>
      <c r="Q26" s="8">
        <v>3.3899999999999997E-5</v>
      </c>
      <c r="R26" s="8">
        <v>6.7500000000000001E-5</v>
      </c>
    </row>
    <row r="27" spans="1:18" x14ac:dyDescent="0.2">
      <c r="A27" s="7" t="s">
        <v>153</v>
      </c>
      <c r="B27" s="8">
        <v>7.6899999999999992E-6</v>
      </c>
      <c r="C27" s="8">
        <v>2.72E-5</v>
      </c>
      <c r="D27" s="8">
        <v>1.9700000000000001E-5</v>
      </c>
      <c r="E27" s="8">
        <v>6.19E-5</v>
      </c>
      <c r="F27" s="7">
        <v>3.5303999999999999E-4</v>
      </c>
      <c r="G27" s="8">
        <v>1.2300000000000001E-5</v>
      </c>
      <c r="H27" s="8">
        <v>6.9299999999999997E-6</v>
      </c>
      <c r="I27" s="8">
        <v>5.3499999999999996E-6</v>
      </c>
      <c r="J27" s="8">
        <v>1.91E-5</v>
      </c>
      <c r="K27" s="8">
        <v>1.2300000000000001E-5</v>
      </c>
      <c r="L27" s="8">
        <v>4.0400000000000003E-6</v>
      </c>
      <c r="M27" s="7">
        <v>0.78092128000000005</v>
      </c>
      <c r="N27" s="8">
        <v>1.5400000000000002E-5</v>
      </c>
      <c r="O27" s="8">
        <v>1.73E-5</v>
      </c>
      <c r="P27" s="8">
        <v>8.3799999999999994E-6</v>
      </c>
      <c r="Q27" s="8">
        <v>1.3900000000000001E-5</v>
      </c>
      <c r="R27" s="8">
        <v>2.23E-5</v>
      </c>
    </row>
    <row r="28" spans="1:18" x14ac:dyDescent="0.2">
      <c r="A28" s="7" t="s">
        <v>50</v>
      </c>
      <c r="B28" s="7">
        <v>1.4524000000000001E-4</v>
      </c>
      <c r="C28" s="7">
        <v>5.3242000000000003E-4</v>
      </c>
      <c r="D28" s="8">
        <v>4.7200000000000002E-5</v>
      </c>
      <c r="E28" s="7">
        <v>0.99919957000000004</v>
      </c>
      <c r="F28" s="8">
        <v>3.8000000000000002E-5</v>
      </c>
      <c r="G28" s="8">
        <v>7.7200000000000006E-5</v>
      </c>
      <c r="H28" s="8">
        <v>4.6400000000000003E-5</v>
      </c>
      <c r="I28" s="8">
        <v>3.3099999999999998E-5</v>
      </c>
      <c r="J28" s="8">
        <v>8.7200000000000005E-5</v>
      </c>
      <c r="K28" s="8">
        <v>6.41E-5</v>
      </c>
      <c r="L28" s="8">
        <v>4.3800000000000001E-5</v>
      </c>
      <c r="M28" s="8">
        <v>4.6499999999999999E-5</v>
      </c>
      <c r="N28" s="8">
        <v>6.1400000000000002E-5</v>
      </c>
      <c r="O28" s="8">
        <v>6.2000000000000003E-5</v>
      </c>
      <c r="P28" s="8">
        <v>5.13E-5</v>
      </c>
      <c r="Q28" s="8">
        <v>4.8399999999999997E-5</v>
      </c>
      <c r="R28" s="7">
        <v>1.1228E-4</v>
      </c>
    </row>
    <row r="29" spans="1:18" x14ac:dyDescent="0.2">
      <c r="A29" s="7" t="s">
        <v>154</v>
      </c>
      <c r="B29" s="7">
        <v>0.80916524000000001</v>
      </c>
      <c r="C29" s="7">
        <v>0.96886848999999997</v>
      </c>
      <c r="D29" s="8">
        <v>9.7999999999999993E-6</v>
      </c>
      <c r="E29" s="8">
        <v>3.43E-5</v>
      </c>
      <c r="F29" s="8">
        <v>1.66E-5</v>
      </c>
      <c r="G29" s="8">
        <v>3.8699999999999999E-5</v>
      </c>
      <c r="H29" s="8">
        <v>7.9899999999999997E-6</v>
      </c>
      <c r="I29" s="8">
        <v>2.5400000000000001E-5</v>
      </c>
      <c r="J29" s="8">
        <v>3.3500000000000001E-5</v>
      </c>
      <c r="K29" s="8">
        <v>1.17E-5</v>
      </c>
      <c r="L29" s="8">
        <v>1.7399999999999999E-5</v>
      </c>
      <c r="M29" s="8">
        <v>1.7399999999999999E-5</v>
      </c>
      <c r="N29" s="8">
        <v>2.0400000000000001E-5</v>
      </c>
      <c r="O29" s="8">
        <v>4.18E-5</v>
      </c>
      <c r="P29" s="8">
        <v>2.8500000000000002E-5</v>
      </c>
      <c r="Q29" s="8">
        <v>1.42E-5</v>
      </c>
      <c r="R29" s="8">
        <v>9.0000000000000006E-5</v>
      </c>
    </row>
    <row r="30" spans="1:18" x14ac:dyDescent="0.2">
      <c r="A30" s="7" t="s">
        <v>155</v>
      </c>
      <c r="B30" s="8">
        <v>3.01E-6</v>
      </c>
      <c r="C30" s="8">
        <v>3.0000000000000001E-6</v>
      </c>
      <c r="D30" s="8">
        <v>3.2499999999999998E-6</v>
      </c>
      <c r="E30" s="7">
        <v>6.5633999999999996E-3</v>
      </c>
      <c r="F30" s="8">
        <v>1.9E-6</v>
      </c>
      <c r="G30" s="8">
        <v>4.25E-6</v>
      </c>
      <c r="H30" s="8">
        <v>4.5299999999999998E-6</v>
      </c>
      <c r="I30" s="8">
        <v>3.1499999999999999E-6</v>
      </c>
      <c r="J30" s="8">
        <v>3.8699999999999999E-5</v>
      </c>
      <c r="K30" s="8">
        <v>2.1500000000000002E-6</v>
      </c>
      <c r="L30" s="8">
        <v>9.9199999999999999E-6</v>
      </c>
      <c r="M30" s="8">
        <v>8.8699999999999998E-6</v>
      </c>
      <c r="N30" s="8">
        <v>2.5900000000000002E-6</v>
      </c>
      <c r="O30" s="8">
        <v>1.88E-6</v>
      </c>
      <c r="P30" s="8">
        <v>3.1E-6</v>
      </c>
      <c r="Q30" s="8">
        <v>2.43E-6</v>
      </c>
      <c r="R30" s="8">
        <v>7.5900000000000002E-6</v>
      </c>
    </row>
    <row r="31" spans="1:18" x14ac:dyDescent="0.2">
      <c r="A31" s="7" t="s">
        <v>156</v>
      </c>
      <c r="B31" s="8">
        <v>1.6500000000000001E-5</v>
      </c>
      <c r="C31" s="8">
        <v>1.08E-5</v>
      </c>
      <c r="D31" s="8">
        <v>6.1199999999999999E-6</v>
      </c>
      <c r="E31" s="7">
        <v>0.57082409000000001</v>
      </c>
      <c r="F31" s="8">
        <v>9.1300000000000007E-6</v>
      </c>
      <c r="G31" s="8">
        <v>1.33E-5</v>
      </c>
      <c r="H31" s="8">
        <v>4.95E-6</v>
      </c>
      <c r="I31" s="8">
        <v>8.3499999999999997E-6</v>
      </c>
      <c r="J31" s="8">
        <v>5.8E-5</v>
      </c>
      <c r="K31" s="8">
        <v>9.0899999999999994E-6</v>
      </c>
      <c r="L31" s="8">
        <v>1.2300000000000001E-5</v>
      </c>
      <c r="M31" s="8">
        <v>2.0299999999999999E-5</v>
      </c>
      <c r="N31" s="8">
        <v>1.01E-5</v>
      </c>
      <c r="O31" s="8">
        <v>3.7699999999999999E-6</v>
      </c>
      <c r="P31" s="8">
        <v>1.0900000000000001E-5</v>
      </c>
      <c r="Q31" s="8">
        <v>4.2899999999999996E-6</v>
      </c>
      <c r="R31" s="8">
        <v>7.1300000000000003E-6</v>
      </c>
    </row>
    <row r="32" spans="1:18" x14ac:dyDescent="0.2">
      <c r="A32" s="7" t="s">
        <v>157</v>
      </c>
      <c r="B32" s="8">
        <v>5.3300000000000001E-5</v>
      </c>
      <c r="C32" s="7">
        <v>1.1903E-4</v>
      </c>
      <c r="D32" s="7">
        <v>1.0232E-4</v>
      </c>
      <c r="E32" s="8">
        <v>6.7700000000000006E-5</v>
      </c>
      <c r="F32" s="7">
        <v>0.99924122999999998</v>
      </c>
      <c r="G32" s="8">
        <v>8.9699999999999998E-5</v>
      </c>
      <c r="H32" s="8">
        <v>6.9200000000000002E-5</v>
      </c>
      <c r="I32" s="8">
        <v>8.9499999999999994E-5</v>
      </c>
      <c r="J32" s="7">
        <v>2.6152E-4</v>
      </c>
      <c r="K32" s="8">
        <v>8.8599999999999999E-5</v>
      </c>
      <c r="L32" s="8">
        <v>7.0500000000000006E-5</v>
      </c>
      <c r="M32" s="7">
        <v>1.3853890000000001E-2</v>
      </c>
      <c r="N32" s="8">
        <v>9.0299999999999999E-5</v>
      </c>
      <c r="O32" s="8">
        <v>7.8300000000000006E-5</v>
      </c>
      <c r="P32" s="8">
        <v>7.2000000000000002E-5</v>
      </c>
      <c r="Q32" s="8">
        <v>6.9999999999999994E-5</v>
      </c>
      <c r="R32" s="8">
        <v>8.7000000000000001E-5</v>
      </c>
    </row>
    <row r="33" spans="1:18" x14ac:dyDescent="0.2">
      <c r="A33" s="7" t="s">
        <v>121</v>
      </c>
      <c r="B33" s="7">
        <v>1.339E-4</v>
      </c>
      <c r="C33" s="7">
        <v>3.8455E-4</v>
      </c>
      <c r="D33" s="7">
        <v>1.2784999999999999E-4</v>
      </c>
      <c r="E33" s="7">
        <v>1.5338E-4</v>
      </c>
      <c r="F33" s="7">
        <v>0.99981003999999996</v>
      </c>
      <c r="G33" s="8">
        <v>9.6899999999999997E-5</v>
      </c>
      <c r="H33" s="7">
        <v>1.0917999999999999E-4</v>
      </c>
      <c r="I33" s="7">
        <v>1.6877E-4</v>
      </c>
      <c r="J33" s="7">
        <v>2.1817000000000001E-4</v>
      </c>
      <c r="K33" s="7">
        <v>1.0614E-4</v>
      </c>
      <c r="L33" s="7">
        <v>1.0398E-4</v>
      </c>
      <c r="M33" s="7">
        <v>1.2237000000000001E-4</v>
      </c>
      <c r="N33" s="7">
        <v>1.2631E-4</v>
      </c>
      <c r="O33" s="8">
        <v>8.92E-5</v>
      </c>
      <c r="P33" s="7">
        <v>1.8652E-4</v>
      </c>
      <c r="Q33" s="7">
        <v>1.138E-4</v>
      </c>
      <c r="R33" s="7">
        <v>1.3239999999999999E-4</v>
      </c>
    </row>
    <row r="34" spans="1:18" x14ac:dyDescent="0.2">
      <c r="A34" s="7" t="s">
        <v>55</v>
      </c>
      <c r="B34" s="7">
        <v>1.6956E-4</v>
      </c>
      <c r="C34" s="7">
        <v>0.17557201</v>
      </c>
      <c r="D34" s="7">
        <v>1.2590999999999999E-4</v>
      </c>
      <c r="E34" s="8">
        <v>9.7E-5</v>
      </c>
      <c r="F34" s="7">
        <v>1.5531E-4</v>
      </c>
      <c r="G34" s="7">
        <v>0.99987113000000005</v>
      </c>
      <c r="H34" s="7">
        <v>1.1846E-4</v>
      </c>
      <c r="I34" s="8">
        <v>8.3200000000000003E-5</v>
      </c>
      <c r="J34" s="7">
        <v>2.3523000000000001E-4</v>
      </c>
      <c r="K34" s="8">
        <v>9.7299999999999993E-5</v>
      </c>
      <c r="L34" s="7">
        <v>1.1573E-4</v>
      </c>
      <c r="M34" s="8">
        <v>7.64E-5</v>
      </c>
      <c r="N34" s="7">
        <v>1.3594E-4</v>
      </c>
      <c r="O34" s="7">
        <v>1.4762999999999999E-4</v>
      </c>
      <c r="P34" s="7">
        <v>1.0264000000000001E-4</v>
      </c>
      <c r="Q34" s="8">
        <v>9.2499999999999999E-5</v>
      </c>
      <c r="R34" s="7">
        <v>3.0556000000000002E-4</v>
      </c>
    </row>
    <row r="35" spans="1:18" x14ac:dyDescent="0.2">
      <c r="A35" s="7" t="s">
        <v>158</v>
      </c>
      <c r="B35" s="7">
        <v>1.1466E-4</v>
      </c>
      <c r="C35" s="7">
        <v>0.98366885999999998</v>
      </c>
      <c r="D35" s="8">
        <v>6.9999999999999999E-6</v>
      </c>
      <c r="E35" s="8">
        <v>5.5999999999999997E-6</v>
      </c>
      <c r="F35" s="8">
        <v>6.2299999999999996E-6</v>
      </c>
      <c r="G35" s="8">
        <v>4.78E-6</v>
      </c>
      <c r="H35" s="8">
        <v>2.1500000000000001E-5</v>
      </c>
      <c r="I35" s="8">
        <v>5.2299999999999999E-6</v>
      </c>
      <c r="J35" s="8">
        <v>1.45E-5</v>
      </c>
      <c r="K35" s="8">
        <v>7.3100000000000003E-6</v>
      </c>
      <c r="L35" s="8">
        <v>7.6799999999999993E-6</v>
      </c>
      <c r="M35" s="8">
        <v>7.9899999999999997E-6</v>
      </c>
      <c r="N35" s="8">
        <v>5.1599999999999997E-6</v>
      </c>
      <c r="O35" s="7">
        <v>1.7364999999999999E-4</v>
      </c>
      <c r="P35" s="8">
        <v>1.06E-5</v>
      </c>
      <c r="Q35" s="8">
        <v>4.95E-6</v>
      </c>
      <c r="R35" s="8">
        <v>2.2799999999999999E-5</v>
      </c>
    </row>
    <row r="36" spans="1:18" x14ac:dyDescent="0.2">
      <c r="A36" s="7" t="s">
        <v>57</v>
      </c>
      <c r="B36" s="8">
        <v>1.5299999999999999E-5</v>
      </c>
      <c r="C36" s="8">
        <v>3.0700000000000001E-5</v>
      </c>
      <c r="D36" s="8">
        <v>1.5999999999999999E-6</v>
      </c>
      <c r="E36" s="8">
        <v>3.1099999999999999E-6</v>
      </c>
      <c r="F36" s="8">
        <v>1.33E-6</v>
      </c>
      <c r="G36" s="7">
        <v>2.6981999999999999E-4</v>
      </c>
      <c r="H36" s="8">
        <v>2.26E-5</v>
      </c>
      <c r="I36" s="8">
        <v>2.3300000000000001E-6</v>
      </c>
      <c r="J36" s="8">
        <v>9.8800000000000003E-6</v>
      </c>
      <c r="K36" s="8">
        <v>2.61E-6</v>
      </c>
      <c r="L36" s="8">
        <v>1.5600000000000001E-6</v>
      </c>
      <c r="M36" s="8">
        <v>2.5600000000000001E-6</v>
      </c>
      <c r="N36" s="7">
        <v>2.4776000000000003E-4</v>
      </c>
      <c r="O36" s="8">
        <v>4.8500000000000002E-6</v>
      </c>
      <c r="P36" s="8">
        <v>1.7099999999999999E-6</v>
      </c>
      <c r="Q36" s="8">
        <v>9.4099999999999997E-7</v>
      </c>
      <c r="R36" s="8">
        <v>7.4800000000000004E-6</v>
      </c>
    </row>
    <row r="37" spans="1:18" x14ac:dyDescent="0.2">
      <c r="A37" s="7" t="s">
        <v>58</v>
      </c>
      <c r="B37" s="7">
        <v>1.2081E-4</v>
      </c>
      <c r="C37" s="7">
        <v>2.8782999999999999E-4</v>
      </c>
      <c r="D37" s="7">
        <v>1.1213E-4</v>
      </c>
      <c r="E37" s="7">
        <v>1.0272000000000001E-4</v>
      </c>
      <c r="F37" s="8">
        <v>8.2600000000000002E-5</v>
      </c>
      <c r="G37" s="7">
        <v>0.99972349000000005</v>
      </c>
      <c r="H37" s="7">
        <v>1.0011E-4</v>
      </c>
      <c r="I37" s="8">
        <v>8.3499999999999997E-5</v>
      </c>
      <c r="J37" s="7">
        <v>1.4171E-4</v>
      </c>
      <c r="K37" s="8">
        <v>6.7600000000000003E-5</v>
      </c>
      <c r="L37" s="8">
        <v>6.6400000000000001E-5</v>
      </c>
      <c r="M37" s="7">
        <v>1.189E-4</v>
      </c>
      <c r="N37" s="7">
        <v>1.3673E-4</v>
      </c>
      <c r="O37" s="7">
        <v>1.0793000000000001E-4</v>
      </c>
      <c r="P37" s="7">
        <v>1.2653E-4</v>
      </c>
      <c r="Q37" s="8">
        <v>8.4099999999999998E-5</v>
      </c>
      <c r="R37" s="7">
        <v>1.0139E-4</v>
      </c>
    </row>
    <row r="38" spans="1:18" x14ac:dyDescent="0.2">
      <c r="A38" s="7" t="s">
        <v>59</v>
      </c>
      <c r="B38" s="7">
        <v>5.2705000000000004E-4</v>
      </c>
      <c r="C38" s="7">
        <v>1.7238949999999999E-2</v>
      </c>
      <c r="D38" s="8">
        <v>7.1000000000000005E-5</v>
      </c>
      <c r="E38" s="7">
        <v>0.44450107</v>
      </c>
      <c r="F38" s="8">
        <v>9.9099999999999996E-5</v>
      </c>
      <c r="G38" s="7">
        <v>0.99812763999999998</v>
      </c>
      <c r="H38" s="8">
        <v>9.2200000000000005E-5</v>
      </c>
      <c r="I38" s="8">
        <v>8.4699999999999999E-5</v>
      </c>
      <c r="J38" s="8">
        <v>8.2200000000000006E-5</v>
      </c>
      <c r="K38" s="8">
        <v>6.4200000000000002E-5</v>
      </c>
      <c r="L38" s="8">
        <v>9.5099999999999994E-5</v>
      </c>
      <c r="M38" s="8">
        <v>6.7799999999999995E-5</v>
      </c>
      <c r="N38" s="8">
        <v>9.7299999999999993E-5</v>
      </c>
      <c r="O38" s="8">
        <v>4.5300000000000003E-5</v>
      </c>
      <c r="P38" s="8">
        <v>9.2899999999999995E-5</v>
      </c>
      <c r="Q38" s="8">
        <v>5.41E-5</v>
      </c>
      <c r="R38" s="8">
        <v>7.2399999999999998E-5</v>
      </c>
    </row>
    <row r="39" spans="1:18" x14ac:dyDescent="0.2">
      <c r="A39" s="7" t="s">
        <v>131</v>
      </c>
      <c r="B39" s="7">
        <v>0.99480683000000003</v>
      </c>
      <c r="C39" s="7">
        <v>1.0794E-4</v>
      </c>
      <c r="D39" s="8">
        <v>1.8099999999999999E-5</v>
      </c>
      <c r="E39" s="7">
        <v>1.1806E-4</v>
      </c>
      <c r="F39" s="8">
        <v>1.8099999999999999E-5</v>
      </c>
      <c r="G39" s="8">
        <v>2.4199999999999999E-5</v>
      </c>
      <c r="H39" s="8">
        <v>1.5400000000000002E-5</v>
      </c>
      <c r="I39" s="8">
        <v>2.3300000000000001E-5</v>
      </c>
      <c r="J39" s="8">
        <v>3.0499999999999999E-5</v>
      </c>
      <c r="K39" s="8">
        <v>1.84E-5</v>
      </c>
      <c r="L39" s="8">
        <v>1.7600000000000001E-5</v>
      </c>
      <c r="M39" s="8">
        <v>2.4199999999999999E-5</v>
      </c>
      <c r="N39" s="8">
        <v>4.7800000000000003E-5</v>
      </c>
      <c r="O39" s="8">
        <v>7.6799999999999997E-5</v>
      </c>
      <c r="P39" s="8">
        <v>3.7599999999999999E-5</v>
      </c>
      <c r="Q39" s="8">
        <v>1.8300000000000001E-5</v>
      </c>
      <c r="R39" s="8">
        <v>5.24E-5</v>
      </c>
    </row>
    <row r="40" spans="1:18" x14ac:dyDescent="0.2">
      <c r="A40" s="7" t="s">
        <v>159</v>
      </c>
      <c r="B40" s="8">
        <v>9.9300000000000001E-5</v>
      </c>
      <c r="C40" s="7">
        <v>2.4089000000000001E-4</v>
      </c>
      <c r="D40" s="7">
        <v>1.0616999999999999E-4</v>
      </c>
      <c r="E40" s="8">
        <v>9.7E-5</v>
      </c>
      <c r="F40" s="7">
        <v>1.0931E-4</v>
      </c>
      <c r="G40" s="8">
        <v>5.8499999999999999E-5</v>
      </c>
      <c r="H40" s="7">
        <v>0.99899548000000005</v>
      </c>
      <c r="I40" s="8">
        <v>9.2800000000000006E-5</v>
      </c>
      <c r="J40" s="8">
        <v>9.0099999999999995E-5</v>
      </c>
      <c r="K40" s="8">
        <v>5.8199999999999998E-5</v>
      </c>
      <c r="L40" s="8">
        <v>5.0399999999999999E-5</v>
      </c>
      <c r="M40" s="8">
        <v>4.9799999999999998E-5</v>
      </c>
      <c r="N40" s="8">
        <v>4.2200000000000003E-5</v>
      </c>
      <c r="O40" s="7">
        <v>1.25E-4</v>
      </c>
      <c r="P40" s="7">
        <v>1.0692999999999999E-4</v>
      </c>
      <c r="Q40" s="8">
        <v>5.2899999999999998E-5</v>
      </c>
      <c r="R40" s="8">
        <v>7.2700000000000005E-5</v>
      </c>
    </row>
    <row r="41" spans="1:18" x14ac:dyDescent="0.2">
      <c r="A41" s="7" t="s">
        <v>160</v>
      </c>
      <c r="B41" s="8">
        <v>4.57E-5</v>
      </c>
      <c r="C41" s="8">
        <v>2.3200000000000001E-5</v>
      </c>
      <c r="D41" s="8">
        <v>7.0599999999999995E-5</v>
      </c>
      <c r="E41" s="8">
        <v>7.9099999999999998E-5</v>
      </c>
      <c r="F41" s="8">
        <v>8.1600000000000005E-5</v>
      </c>
      <c r="G41" s="8">
        <v>4.6100000000000002E-5</v>
      </c>
      <c r="H41" s="7">
        <v>0.99654812000000004</v>
      </c>
      <c r="I41" s="8">
        <v>7.1500000000000003E-5</v>
      </c>
      <c r="J41" s="8">
        <v>7.1699999999999995E-5</v>
      </c>
      <c r="K41" s="8">
        <v>3.2299999999999999E-5</v>
      </c>
      <c r="L41" s="8">
        <v>4.0500000000000002E-5</v>
      </c>
      <c r="M41" s="8">
        <v>3.8300000000000003E-5</v>
      </c>
      <c r="N41" s="8">
        <v>4.4499999999999997E-5</v>
      </c>
      <c r="O41" s="7">
        <v>7.2383429999999999E-2</v>
      </c>
      <c r="P41" s="8">
        <v>9.4900000000000003E-5</v>
      </c>
      <c r="Q41" s="8">
        <v>4.6900000000000002E-5</v>
      </c>
      <c r="R41" s="7">
        <v>1.5875000000000001E-4</v>
      </c>
    </row>
    <row r="42" spans="1:18" x14ac:dyDescent="0.2">
      <c r="A42" s="7" t="s">
        <v>161</v>
      </c>
      <c r="B42" s="8">
        <v>3.15E-5</v>
      </c>
      <c r="C42" s="8">
        <v>1.33E-5</v>
      </c>
      <c r="D42" s="8">
        <v>1.2799999999999999E-5</v>
      </c>
      <c r="E42" s="7">
        <v>1.5652E-4</v>
      </c>
      <c r="F42" s="8">
        <v>1.4399999999999999E-5</v>
      </c>
      <c r="G42" s="8">
        <v>1.7799999999999999E-5</v>
      </c>
      <c r="H42" s="8">
        <v>1.9599999999999999E-5</v>
      </c>
      <c r="I42" s="8">
        <v>1.5800000000000001E-5</v>
      </c>
      <c r="J42" s="7">
        <v>0.99958592999999996</v>
      </c>
      <c r="K42" s="7">
        <v>1.4276999999999999E-4</v>
      </c>
      <c r="L42" s="8">
        <v>1.77E-5</v>
      </c>
      <c r="M42" s="7">
        <v>1.6055999999999999E-4</v>
      </c>
      <c r="N42" s="8">
        <v>3.4999999999999997E-5</v>
      </c>
      <c r="O42" s="8">
        <v>7.0999999999999998E-6</v>
      </c>
      <c r="P42" s="8">
        <v>3.7200000000000003E-5</v>
      </c>
      <c r="Q42" s="8">
        <v>1.66E-5</v>
      </c>
      <c r="R42" s="8">
        <v>1.11E-5</v>
      </c>
    </row>
    <row r="43" spans="1:18" x14ac:dyDescent="0.2">
      <c r="A43" s="7" t="s">
        <v>162</v>
      </c>
      <c r="B43" s="8">
        <v>4.21E-5</v>
      </c>
      <c r="C43" s="8">
        <v>4.7200000000000002E-5</v>
      </c>
      <c r="D43" s="8">
        <v>3.3200000000000001E-5</v>
      </c>
      <c r="E43" s="7">
        <v>1.0315999999999999E-4</v>
      </c>
      <c r="F43" s="8">
        <v>3.1699999999999998E-5</v>
      </c>
      <c r="G43" s="8">
        <v>3.6900000000000002E-5</v>
      </c>
      <c r="H43" s="8">
        <v>3.6699999999999998E-5</v>
      </c>
      <c r="I43" s="8">
        <v>2.4300000000000001E-5</v>
      </c>
      <c r="J43" s="7">
        <v>0.99991929999999996</v>
      </c>
      <c r="K43" s="8">
        <v>4.32E-5</v>
      </c>
      <c r="L43" s="7">
        <v>1.1199E-4</v>
      </c>
      <c r="M43" s="7">
        <v>1.7008999999999999E-4</v>
      </c>
      <c r="N43" s="8">
        <v>4.1499999999999999E-5</v>
      </c>
      <c r="O43" s="8">
        <v>1.77E-5</v>
      </c>
      <c r="P43" s="8">
        <v>4.7200000000000002E-5</v>
      </c>
      <c r="Q43" s="8">
        <v>2.5999999999999998E-5</v>
      </c>
      <c r="R43" s="8">
        <v>6.3999999999999997E-5</v>
      </c>
    </row>
    <row r="44" spans="1:18" x14ac:dyDescent="0.2">
      <c r="A44" s="7" t="s">
        <v>163</v>
      </c>
      <c r="B44" s="8">
        <v>5.8400000000000003E-5</v>
      </c>
      <c r="C44" s="7">
        <v>1.3897000000000001E-4</v>
      </c>
      <c r="D44" s="7">
        <v>1.1743000000000001E-4</v>
      </c>
      <c r="E44" s="8">
        <v>8.2200000000000006E-5</v>
      </c>
      <c r="F44" s="7">
        <v>1.0555E-4</v>
      </c>
      <c r="G44" s="7">
        <v>1.0045E-4</v>
      </c>
      <c r="H44" s="8">
        <v>8.0400000000000003E-5</v>
      </c>
      <c r="I44" s="8">
        <v>8.0599999999999994E-5</v>
      </c>
      <c r="J44" s="7">
        <v>0.99993752999999996</v>
      </c>
      <c r="K44" s="7">
        <v>2.4604999999999999E-4</v>
      </c>
      <c r="L44" s="7">
        <v>1.6962999999999999E-4</v>
      </c>
      <c r="M44" s="7">
        <v>0.98869072999999996</v>
      </c>
      <c r="N44" s="8">
        <v>9.5600000000000006E-5</v>
      </c>
      <c r="O44" s="8">
        <v>6.3700000000000003E-5</v>
      </c>
      <c r="P44" s="8">
        <v>8.7600000000000002E-5</v>
      </c>
      <c r="Q44" s="8">
        <v>9.5199999999999997E-5</v>
      </c>
      <c r="R44" s="8">
        <v>6.5300000000000002E-5</v>
      </c>
    </row>
    <row r="45" spans="1:18" x14ac:dyDescent="0.2">
      <c r="A45" s="7" t="s">
        <v>164</v>
      </c>
      <c r="B45" s="8">
        <v>3.2299999999999999E-5</v>
      </c>
      <c r="C45" s="8">
        <v>1.33E-5</v>
      </c>
      <c r="D45" s="8">
        <v>3.7799999999999997E-5</v>
      </c>
      <c r="E45" s="7">
        <v>2.2206999999999999E-4</v>
      </c>
      <c r="F45" s="8">
        <v>1.56E-5</v>
      </c>
      <c r="G45" s="8">
        <v>2.34E-5</v>
      </c>
      <c r="H45" s="8">
        <v>2.2200000000000001E-5</v>
      </c>
      <c r="I45" s="8">
        <v>2.9300000000000001E-5</v>
      </c>
      <c r="J45" s="7">
        <v>0.99982649000000001</v>
      </c>
      <c r="K45" s="7">
        <v>2.3237E-4</v>
      </c>
      <c r="L45" s="8">
        <v>1.4100000000000001E-5</v>
      </c>
      <c r="M45" s="7">
        <v>6.9673999999999995E-4</v>
      </c>
      <c r="N45" s="8">
        <v>1.6099999999999998E-5</v>
      </c>
      <c r="O45" s="8">
        <v>2.41E-5</v>
      </c>
      <c r="P45" s="8">
        <v>4.4199999999999997E-5</v>
      </c>
      <c r="Q45" s="8">
        <v>2.2500000000000001E-5</v>
      </c>
      <c r="R45" s="8">
        <v>2.1399999999999998E-5</v>
      </c>
    </row>
    <row r="46" spans="1:18" x14ac:dyDescent="0.2">
      <c r="A46" s="7" t="s">
        <v>65</v>
      </c>
      <c r="B46" s="8">
        <v>2.17E-6</v>
      </c>
      <c r="C46" s="8">
        <v>9.55E-6</v>
      </c>
      <c r="D46" s="8">
        <v>3.7900000000000001E-6</v>
      </c>
      <c r="E46" s="8">
        <v>2.3199999999999998E-6</v>
      </c>
      <c r="F46" s="8">
        <v>3.23E-6</v>
      </c>
      <c r="G46" s="8">
        <v>1.1200000000000001E-6</v>
      </c>
      <c r="H46" s="8">
        <v>3.41E-6</v>
      </c>
      <c r="I46" s="8">
        <v>3.2399999999999999E-6</v>
      </c>
      <c r="J46" s="8">
        <v>3.7500000000000001E-6</v>
      </c>
      <c r="K46" s="8">
        <v>2.2500000000000001E-6</v>
      </c>
      <c r="L46" s="8">
        <v>2.1500000000000002E-6</v>
      </c>
      <c r="M46" s="8">
        <v>1.44E-6</v>
      </c>
      <c r="N46" s="8">
        <v>2.17E-6</v>
      </c>
      <c r="O46" s="8">
        <v>1.75E-6</v>
      </c>
      <c r="P46" s="8">
        <v>1.31E-6</v>
      </c>
      <c r="Q46" s="8">
        <v>2.4200000000000001E-6</v>
      </c>
      <c r="R46" s="8">
        <v>1.15E-5</v>
      </c>
    </row>
    <row r="47" spans="1:18" x14ac:dyDescent="0.2">
      <c r="A47" s="7" t="s">
        <v>165</v>
      </c>
      <c r="B47" s="8">
        <v>2.1100000000000001E-6</v>
      </c>
      <c r="C47" s="8">
        <v>1.06E-6</v>
      </c>
      <c r="D47" s="8">
        <v>2.4499999999999998E-6</v>
      </c>
      <c r="E47" s="8">
        <v>1.7600000000000001E-6</v>
      </c>
      <c r="F47" s="8">
        <v>2.3599999999999999E-6</v>
      </c>
      <c r="G47" s="8">
        <v>1.7799999999999999E-6</v>
      </c>
      <c r="H47" s="8">
        <v>2.34E-6</v>
      </c>
      <c r="I47" s="8">
        <v>2.4700000000000001E-6</v>
      </c>
      <c r="J47" s="8">
        <v>1.2E-5</v>
      </c>
      <c r="K47" s="8">
        <v>3.9500000000000003E-6</v>
      </c>
      <c r="L47" s="8">
        <v>3.27E-6</v>
      </c>
      <c r="M47" s="8">
        <v>4.1300000000000003E-6</v>
      </c>
      <c r="N47" s="8">
        <v>2.04E-6</v>
      </c>
      <c r="O47" s="8">
        <v>6.8700000000000003E-6</v>
      </c>
      <c r="P47" s="8">
        <v>4.2599999999999999E-6</v>
      </c>
      <c r="Q47" s="8">
        <v>3.0599999999999999E-6</v>
      </c>
      <c r="R47" s="8">
        <v>2.04E-6</v>
      </c>
    </row>
    <row r="48" spans="1:18" x14ac:dyDescent="0.2">
      <c r="A48" s="7" t="s">
        <v>67</v>
      </c>
      <c r="B48" s="8">
        <v>3.5899999999999998E-5</v>
      </c>
      <c r="C48" s="7">
        <v>3.5052999999999999E-4</v>
      </c>
      <c r="D48" s="8">
        <v>4.9499999999999997E-5</v>
      </c>
      <c r="E48" s="7">
        <v>0.99842595999999995</v>
      </c>
      <c r="F48" s="8">
        <v>5.1100000000000002E-5</v>
      </c>
      <c r="G48" s="8">
        <v>3.3899999999999997E-5</v>
      </c>
      <c r="H48" s="8">
        <v>5.1199999999999998E-5</v>
      </c>
      <c r="I48" s="8">
        <v>2.8200000000000001E-5</v>
      </c>
      <c r="J48" s="7">
        <v>1.8687E-4</v>
      </c>
      <c r="K48" s="8">
        <v>4.2599999999999999E-5</v>
      </c>
      <c r="L48" s="8">
        <v>5.49E-5</v>
      </c>
      <c r="M48" s="8">
        <v>5.2200000000000002E-5</v>
      </c>
      <c r="N48" s="7">
        <v>1.0885000000000001E-3</v>
      </c>
      <c r="O48" s="8">
        <v>2.65E-5</v>
      </c>
      <c r="P48" s="8">
        <v>6.7999999999999999E-5</v>
      </c>
      <c r="Q48" s="8">
        <v>2.7100000000000001E-5</v>
      </c>
      <c r="R48" s="7">
        <v>1.1386E-4</v>
      </c>
    </row>
    <row r="49" spans="1:18" x14ac:dyDescent="0.2">
      <c r="A49" s="7" t="s">
        <v>166</v>
      </c>
      <c r="B49" s="8">
        <v>1.37E-6</v>
      </c>
      <c r="C49" s="8">
        <v>6.8999999999999996E-7</v>
      </c>
      <c r="D49" s="8">
        <v>1.5799999999999999E-6</v>
      </c>
      <c r="E49" s="8">
        <v>5.7899999999999996E-6</v>
      </c>
      <c r="F49" s="8">
        <v>2.61E-6</v>
      </c>
      <c r="G49" s="8">
        <v>1.3599999999999999E-6</v>
      </c>
      <c r="H49" s="8">
        <v>1.1999999999999999E-6</v>
      </c>
      <c r="I49" s="8">
        <v>1.13E-5</v>
      </c>
      <c r="J49" s="7">
        <v>1.2673E-4</v>
      </c>
      <c r="K49" s="8">
        <v>3.3299999999999999E-6</v>
      </c>
      <c r="L49" s="8">
        <v>5.1900000000000003E-6</v>
      </c>
      <c r="M49" s="8">
        <v>2.48E-6</v>
      </c>
      <c r="N49" s="8">
        <v>1.79E-6</v>
      </c>
      <c r="O49" s="8">
        <v>1.5200000000000001E-6</v>
      </c>
      <c r="P49" s="8">
        <v>4.9300000000000002E-6</v>
      </c>
      <c r="Q49" s="8">
        <v>2.8899999999999999E-6</v>
      </c>
      <c r="R49" s="8">
        <v>4.4599999999999996E-6</v>
      </c>
    </row>
    <row r="50" spans="1:18" x14ac:dyDescent="0.2">
      <c r="A50" s="7" t="s">
        <v>122</v>
      </c>
      <c r="B50" s="8">
        <v>6.6699999999999997E-6</v>
      </c>
      <c r="C50" s="8">
        <v>4.2699999999999998E-6</v>
      </c>
      <c r="D50" s="7">
        <v>0.57538962000000005</v>
      </c>
      <c r="E50" s="8">
        <v>5.8799999999999996E-6</v>
      </c>
      <c r="F50" s="8">
        <v>2.0800000000000001E-5</v>
      </c>
      <c r="G50" s="8">
        <v>6.2400000000000004E-6</v>
      </c>
      <c r="H50" s="8">
        <v>1.4800000000000001E-5</v>
      </c>
      <c r="I50" s="8">
        <v>1.38E-5</v>
      </c>
      <c r="J50" s="8">
        <v>2.3600000000000001E-5</v>
      </c>
      <c r="K50" s="8">
        <v>8.3499999999999997E-6</v>
      </c>
      <c r="L50" s="8">
        <v>1.43E-5</v>
      </c>
      <c r="M50" s="8">
        <v>8.0499999999999992E-6</v>
      </c>
      <c r="N50" s="8">
        <v>3.4E-5</v>
      </c>
      <c r="O50" s="8">
        <v>3.29E-5</v>
      </c>
      <c r="P50" s="8">
        <v>1.42E-5</v>
      </c>
      <c r="Q50" s="8">
        <v>1.52E-5</v>
      </c>
      <c r="R50" s="8">
        <v>8.9900000000000003E-6</v>
      </c>
    </row>
    <row r="51" spans="1:18" x14ac:dyDescent="0.2">
      <c r="A51" s="7" t="s">
        <v>167</v>
      </c>
      <c r="B51" s="8">
        <v>1.5400000000000002E-5</v>
      </c>
      <c r="C51" s="7">
        <v>0.92525369000000002</v>
      </c>
      <c r="D51" s="8">
        <v>2.3099999999999999E-6</v>
      </c>
      <c r="E51" s="8">
        <v>1.63E-5</v>
      </c>
      <c r="F51" s="8">
        <v>5.6500000000000001E-6</v>
      </c>
      <c r="G51" s="8">
        <v>3.1599999999999998E-6</v>
      </c>
      <c r="H51" s="8">
        <v>4.6399999999999996E-6</v>
      </c>
      <c r="I51" s="8">
        <v>3.1599999999999998E-6</v>
      </c>
      <c r="J51" s="8">
        <v>1.17E-5</v>
      </c>
      <c r="K51" s="8">
        <v>2.8600000000000001E-6</v>
      </c>
      <c r="L51" s="8">
        <v>5.8900000000000004E-6</v>
      </c>
      <c r="M51" s="8">
        <v>4.0600000000000001E-6</v>
      </c>
      <c r="N51" s="8">
        <v>9.6299999999999993E-6</v>
      </c>
      <c r="O51" s="8">
        <v>1.2E-5</v>
      </c>
      <c r="P51" s="8">
        <v>5.1699999999999996E-6</v>
      </c>
      <c r="Q51" s="8">
        <v>3.1700000000000001E-6</v>
      </c>
      <c r="R51" s="7">
        <v>2.8729E-4</v>
      </c>
    </row>
    <row r="52" spans="1:18" x14ac:dyDescent="0.2">
      <c r="A52" s="7" t="s">
        <v>168</v>
      </c>
      <c r="B52" s="8">
        <v>8.2500000000000004E-7</v>
      </c>
      <c r="C52" s="8">
        <v>3.4199999999999998E-5</v>
      </c>
      <c r="D52" s="8">
        <v>1.3400000000000001E-6</v>
      </c>
      <c r="E52" s="8">
        <v>6.0499999999999997E-6</v>
      </c>
      <c r="F52" s="8">
        <v>7.5000000000000002E-6</v>
      </c>
      <c r="G52" s="8">
        <v>3.4599999999999999E-6</v>
      </c>
      <c r="H52" s="8">
        <v>3.27E-6</v>
      </c>
      <c r="I52" s="8">
        <v>6.5300000000000004E-7</v>
      </c>
      <c r="J52" s="8">
        <v>3.5599999999999998E-6</v>
      </c>
      <c r="K52" s="8">
        <v>7.3300000000000001E-7</v>
      </c>
      <c r="L52" s="8">
        <v>1.3E-6</v>
      </c>
      <c r="M52" s="8">
        <v>2.6299999999999998E-6</v>
      </c>
      <c r="N52" s="8">
        <v>1.1799999999999999E-6</v>
      </c>
      <c r="O52" s="8">
        <v>2.4199999999999999E-5</v>
      </c>
      <c r="P52" s="8">
        <v>4.6399999999999996E-6</v>
      </c>
      <c r="Q52" s="8">
        <v>1.8700000000000001E-6</v>
      </c>
      <c r="R52" s="8">
        <v>1.6200000000000001E-5</v>
      </c>
    </row>
    <row r="53" spans="1:18" x14ac:dyDescent="0.2">
      <c r="A53" s="7" t="s">
        <v>71</v>
      </c>
      <c r="B53" s="8">
        <v>3.4199999999999999E-6</v>
      </c>
      <c r="C53" s="8">
        <v>8.2800000000000003E-6</v>
      </c>
      <c r="D53" s="8">
        <v>3.5499999999999999E-6</v>
      </c>
      <c r="E53" s="8">
        <v>3.2499999999999998E-6</v>
      </c>
      <c r="F53" s="8">
        <v>1.8899999999999999E-6</v>
      </c>
      <c r="G53" s="8">
        <v>4.2400000000000001E-6</v>
      </c>
      <c r="H53" s="8">
        <v>3.6200000000000001E-6</v>
      </c>
      <c r="I53" s="8">
        <v>1.9400000000000001E-6</v>
      </c>
      <c r="J53" s="8">
        <v>3.5599999999999998E-6</v>
      </c>
      <c r="K53" s="8">
        <v>1.9300000000000002E-6</v>
      </c>
      <c r="L53" s="8">
        <v>1.26E-6</v>
      </c>
      <c r="M53" s="8">
        <v>1.7799999999999999E-6</v>
      </c>
      <c r="N53" s="8">
        <v>5.3600000000000004E-6</v>
      </c>
      <c r="O53" s="8">
        <v>2.2900000000000001E-6</v>
      </c>
      <c r="P53" s="8">
        <v>3.89E-6</v>
      </c>
      <c r="Q53" s="8">
        <v>3.0400000000000001E-6</v>
      </c>
      <c r="R53" s="8">
        <v>1.6300000000000001E-6</v>
      </c>
    </row>
    <row r="54" spans="1:18" x14ac:dyDescent="0.2">
      <c r="A54" s="7" t="s">
        <v>72</v>
      </c>
      <c r="B54" s="8">
        <v>1.3900000000000001E-5</v>
      </c>
      <c r="C54" s="7">
        <v>0.9993611</v>
      </c>
      <c r="D54" s="8">
        <v>3.57E-5</v>
      </c>
      <c r="E54" s="8">
        <v>4.3300000000000002E-5</v>
      </c>
      <c r="F54" s="8">
        <v>2.5199999999999999E-5</v>
      </c>
      <c r="G54" s="8">
        <v>2.7500000000000001E-5</v>
      </c>
      <c r="H54" s="8">
        <v>2.0999999999999999E-5</v>
      </c>
      <c r="I54" s="8">
        <v>1.49E-5</v>
      </c>
      <c r="J54" s="8">
        <v>2.9300000000000001E-5</v>
      </c>
      <c r="K54" s="8">
        <v>1.4800000000000001E-5</v>
      </c>
      <c r="L54" s="8">
        <v>1.2E-5</v>
      </c>
      <c r="M54" s="8">
        <v>1.6099999999999998E-5</v>
      </c>
      <c r="N54" s="8">
        <v>2.2200000000000001E-5</v>
      </c>
      <c r="O54" s="8">
        <v>2.6100000000000001E-5</v>
      </c>
      <c r="P54" s="8">
        <v>2.9E-5</v>
      </c>
      <c r="Q54" s="8">
        <v>1.3900000000000001E-5</v>
      </c>
      <c r="R54" s="8">
        <v>2.4300000000000001E-5</v>
      </c>
    </row>
    <row r="55" spans="1:18" x14ac:dyDescent="0.2">
      <c r="A55" s="7" t="s">
        <v>73</v>
      </c>
      <c r="B55" s="8">
        <v>3.7599999999999999E-5</v>
      </c>
      <c r="C55" s="7">
        <v>1.7490999999999999E-4</v>
      </c>
      <c r="D55" s="8">
        <v>5.7500000000000002E-5</v>
      </c>
      <c r="E55" s="7">
        <v>0.99879443999999995</v>
      </c>
      <c r="F55" s="8">
        <v>5.13E-5</v>
      </c>
      <c r="G55" s="8">
        <v>5.0000000000000002E-5</v>
      </c>
      <c r="H55" s="8">
        <v>6.9999999999999994E-5</v>
      </c>
      <c r="I55" s="8">
        <v>2.8399999999999999E-5</v>
      </c>
      <c r="J55" s="7">
        <v>1.0482E-4</v>
      </c>
      <c r="K55" s="8">
        <v>4.8300000000000002E-5</v>
      </c>
      <c r="L55" s="8">
        <v>3.9900000000000001E-5</v>
      </c>
      <c r="M55" s="8">
        <v>5.1499999999999998E-5</v>
      </c>
      <c r="N55" s="8">
        <v>8.6199999999999995E-5</v>
      </c>
      <c r="O55" s="8">
        <v>3.5200000000000002E-5</v>
      </c>
      <c r="P55" s="8">
        <v>6.1299999999999999E-5</v>
      </c>
      <c r="Q55" s="8">
        <v>4.6799999999999999E-5</v>
      </c>
      <c r="R55" s="8">
        <v>7.3300000000000006E-5</v>
      </c>
    </row>
    <row r="56" spans="1:18" x14ac:dyDescent="0.2">
      <c r="A56" s="7" t="s">
        <v>138</v>
      </c>
      <c r="B56" s="7">
        <v>2.0890000000000001E-4</v>
      </c>
      <c r="C56" s="7">
        <v>3.2688999999999998E-4</v>
      </c>
      <c r="D56" s="7">
        <v>2.1673999999999999E-4</v>
      </c>
      <c r="E56" s="7">
        <v>1.6098999999999999E-4</v>
      </c>
      <c r="F56" s="7">
        <v>1.9848000000000001E-4</v>
      </c>
      <c r="G56" s="7">
        <v>1.6149E-4</v>
      </c>
      <c r="H56" s="7">
        <v>2.3734E-4</v>
      </c>
      <c r="I56" s="7">
        <v>2.7063E-4</v>
      </c>
      <c r="J56" s="7">
        <v>2.5497999999999997E-4</v>
      </c>
      <c r="K56" s="7">
        <v>2.2395999999999999E-4</v>
      </c>
      <c r="L56" s="7">
        <v>2.165E-4</v>
      </c>
      <c r="M56" s="7">
        <v>1.75E-4</v>
      </c>
      <c r="N56" s="7">
        <v>2.4020000000000001E-4</v>
      </c>
      <c r="O56" s="7">
        <v>0.99951707999999995</v>
      </c>
      <c r="P56" s="7">
        <v>2.3655E-4</v>
      </c>
      <c r="Q56" s="7">
        <v>2.1812000000000001E-4</v>
      </c>
      <c r="R56" s="7">
        <v>0.99944896000000005</v>
      </c>
    </row>
    <row r="57" spans="1:18" x14ac:dyDescent="0.2">
      <c r="A57" s="7" t="s">
        <v>74</v>
      </c>
      <c r="B57" s="7">
        <v>1.4443E-4</v>
      </c>
      <c r="C57" s="7">
        <v>0.99233161999999997</v>
      </c>
      <c r="D57" s="7">
        <v>1.024E-4</v>
      </c>
      <c r="E57" s="8">
        <v>9.6700000000000006E-5</v>
      </c>
      <c r="F57" s="7">
        <v>1.4105000000000001E-4</v>
      </c>
      <c r="G57" s="7">
        <v>1.7437999999999999E-4</v>
      </c>
      <c r="H57" s="7">
        <v>1.3097E-4</v>
      </c>
      <c r="I57" s="7">
        <v>1.2184E-4</v>
      </c>
      <c r="J57" s="7">
        <v>1.1077E-4</v>
      </c>
      <c r="K57" s="8">
        <v>5.4500000000000003E-5</v>
      </c>
      <c r="L57" s="8">
        <v>7.47E-5</v>
      </c>
      <c r="M57" s="7">
        <v>1.0171E-4</v>
      </c>
      <c r="N57" s="7">
        <v>2.5458000000000002E-4</v>
      </c>
      <c r="O57" s="7">
        <v>3.2979999999999999E-4</v>
      </c>
      <c r="P57" s="7">
        <v>1.0069999999999999E-4</v>
      </c>
      <c r="Q57" s="8">
        <v>8.0500000000000005E-5</v>
      </c>
      <c r="R57" s="7">
        <v>0.99980097999999995</v>
      </c>
    </row>
    <row r="58" spans="1:18" x14ac:dyDescent="0.2">
      <c r="A58" s="7" t="s">
        <v>169</v>
      </c>
      <c r="B58" s="8">
        <v>2.5000000000000001E-5</v>
      </c>
      <c r="C58" s="7">
        <v>1.4752E-4</v>
      </c>
      <c r="D58" s="8">
        <v>4.4499999999999997E-6</v>
      </c>
      <c r="E58" s="8">
        <v>2.6599999999999999E-6</v>
      </c>
      <c r="F58" s="8">
        <v>5.66E-6</v>
      </c>
      <c r="G58" s="8">
        <v>9.9199999999999999E-6</v>
      </c>
      <c r="H58" s="8">
        <v>1.43E-5</v>
      </c>
      <c r="I58" s="8">
        <v>9.5000000000000005E-6</v>
      </c>
      <c r="J58" s="8">
        <v>2.2900000000000001E-5</v>
      </c>
      <c r="K58" s="8">
        <v>1.5E-5</v>
      </c>
      <c r="L58" s="8">
        <v>4.1899999999999997E-6</v>
      </c>
      <c r="M58" s="8">
        <v>8.0299999999999994E-6</v>
      </c>
      <c r="N58" s="8">
        <v>2.0999999999999999E-5</v>
      </c>
      <c r="O58" s="8">
        <v>7.0299999999999996E-6</v>
      </c>
      <c r="P58" s="8">
        <v>2.12E-5</v>
      </c>
      <c r="Q58" s="8">
        <v>1.9300000000000002E-6</v>
      </c>
      <c r="R58" s="7">
        <v>0.64495223999999995</v>
      </c>
    </row>
    <row r="59" spans="1:18" x14ac:dyDescent="0.2">
      <c r="A59" s="7" t="s">
        <v>170</v>
      </c>
      <c r="B59" s="8">
        <v>3.9400000000000002E-5</v>
      </c>
      <c r="C59" s="7">
        <v>9.3468000000000002E-4</v>
      </c>
      <c r="D59" s="8">
        <v>4.7299999999999998E-5</v>
      </c>
      <c r="E59" s="8">
        <v>3.9499999999999998E-5</v>
      </c>
      <c r="F59" s="8">
        <v>3.3500000000000001E-5</v>
      </c>
      <c r="G59" s="8">
        <v>4.6E-5</v>
      </c>
      <c r="H59" s="8">
        <v>3.8800000000000001E-5</v>
      </c>
      <c r="I59" s="8">
        <v>4.0599999999999998E-5</v>
      </c>
      <c r="J59" s="7">
        <v>2.5929000000000002E-4</v>
      </c>
      <c r="K59" s="8">
        <v>3.93E-5</v>
      </c>
      <c r="L59" s="8">
        <v>3.01E-5</v>
      </c>
      <c r="M59" s="7">
        <v>2.7441710000000001E-2</v>
      </c>
      <c r="N59" s="8">
        <v>4.5000000000000003E-5</v>
      </c>
      <c r="O59" s="7">
        <v>4.8502000000000001E-4</v>
      </c>
      <c r="P59" s="8">
        <v>3.1900000000000003E-5</v>
      </c>
      <c r="Q59" s="8">
        <v>3.01E-5</v>
      </c>
      <c r="R59" s="7">
        <v>0.99926524999999999</v>
      </c>
    </row>
    <row r="60" spans="1:18" x14ac:dyDescent="0.2">
      <c r="A60" s="7" t="s">
        <v>171</v>
      </c>
      <c r="B60" s="8">
        <v>6.7299999999999996E-5</v>
      </c>
      <c r="C60" s="7">
        <v>1.8938000000000001E-4</v>
      </c>
      <c r="D60" s="7">
        <v>1.071E-4</v>
      </c>
      <c r="E60" s="8">
        <v>6.05E-5</v>
      </c>
      <c r="F60" s="8">
        <v>8.03E-5</v>
      </c>
      <c r="G60" s="8">
        <v>6.9499999999999995E-5</v>
      </c>
      <c r="H60" s="8">
        <v>6.5199999999999999E-5</v>
      </c>
      <c r="I60" s="7">
        <v>1.0038E-4</v>
      </c>
      <c r="J60" s="8">
        <v>9.2200000000000005E-5</v>
      </c>
      <c r="K60" s="8">
        <v>4.7800000000000003E-5</v>
      </c>
      <c r="L60" s="8">
        <v>6.1299999999999999E-5</v>
      </c>
      <c r="M60" s="8">
        <v>4.6900000000000002E-5</v>
      </c>
      <c r="N60" s="8">
        <v>6.4300000000000004E-5</v>
      </c>
      <c r="O60" s="7">
        <v>2.1398000000000001E-4</v>
      </c>
      <c r="P60" s="8">
        <v>9.9300000000000001E-5</v>
      </c>
      <c r="Q60" s="8">
        <v>9.7E-5</v>
      </c>
      <c r="R60" s="7">
        <v>0.99977106000000004</v>
      </c>
    </row>
    <row r="61" spans="1:18" x14ac:dyDescent="0.2">
      <c r="A61" s="7" t="s">
        <v>78</v>
      </c>
      <c r="B61" s="8">
        <v>1.1200000000000001E-6</v>
      </c>
      <c r="C61" s="8">
        <v>1.7E-6</v>
      </c>
      <c r="D61" s="8">
        <v>3.5700000000000001E-6</v>
      </c>
      <c r="E61" s="8">
        <v>1.42E-6</v>
      </c>
      <c r="F61" s="8">
        <v>3.4300000000000002E-6</v>
      </c>
      <c r="G61" s="8">
        <v>4.4599999999999996E-6</v>
      </c>
      <c r="H61" s="8">
        <v>8.0600000000000008E-6</v>
      </c>
      <c r="I61" s="8">
        <v>6.3400000000000003E-6</v>
      </c>
      <c r="J61" s="8">
        <v>3.1E-6</v>
      </c>
      <c r="K61" s="8">
        <v>1.5999999999999999E-6</v>
      </c>
      <c r="L61" s="8">
        <v>2.4099999999999998E-6</v>
      </c>
      <c r="M61" s="8">
        <v>1.2300000000000001E-6</v>
      </c>
      <c r="N61" s="8">
        <v>5.6899999999999997E-6</v>
      </c>
      <c r="O61" s="8">
        <v>3.2700000000000002E-5</v>
      </c>
      <c r="P61" s="8">
        <v>1.04E-5</v>
      </c>
      <c r="Q61" s="8">
        <v>1.3499999999999999E-5</v>
      </c>
      <c r="R61" s="7">
        <v>2.8909999999999998E-4</v>
      </c>
    </row>
    <row r="62" spans="1:18" x14ac:dyDescent="0.2">
      <c r="A62" s="7" t="s">
        <v>79</v>
      </c>
      <c r="B62" s="8">
        <v>2.9099999999999999E-5</v>
      </c>
      <c r="C62" s="7">
        <v>1.0045E-4</v>
      </c>
      <c r="D62" s="8">
        <v>3.9799999999999998E-5</v>
      </c>
      <c r="E62" s="7">
        <v>0.99719917999999996</v>
      </c>
      <c r="F62" s="8">
        <v>2.3E-5</v>
      </c>
      <c r="G62" s="8">
        <v>5.41E-5</v>
      </c>
      <c r="H62" s="8">
        <v>6.3299999999999994E-5</v>
      </c>
      <c r="I62" s="8">
        <v>2.51E-5</v>
      </c>
      <c r="J62" s="8">
        <v>6.3999999999999997E-5</v>
      </c>
      <c r="K62" s="8">
        <v>3.8899999999999997E-5</v>
      </c>
      <c r="L62" s="8">
        <v>7.1600000000000006E-5</v>
      </c>
      <c r="M62" s="8">
        <v>3.0700000000000001E-5</v>
      </c>
      <c r="N62" s="8">
        <v>4.1100000000000003E-5</v>
      </c>
      <c r="O62" s="8">
        <v>4.7899999999999999E-5</v>
      </c>
      <c r="P62" s="8">
        <v>7.4400000000000006E-5</v>
      </c>
      <c r="Q62" s="8">
        <v>3.5599999999999998E-5</v>
      </c>
      <c r="R62" s="7">
        <v>1.1268E-4</v>
      </c>
    </row>
    <row r="63" spans="1:18" x14ac:dyDescent="0.2">
      <c r="A63" s="7" t="s">
        <v>110</v>
      </c>
      <c r="B63" s="8">
        <v>6.8600000000000004E-6</v>
      </c>
      <c r="C63" s="7">
        <v>0.99560272999999999</v>
      </c>
      <c r="D63" s="8">
        <v>5.2800000000000003E-6</v>
      </c>
      <c r="E63" s="8">
        <v>1.6699999999999999E-5</v>
      </c>
      <c r="F63" s="8">
        <v>1.0200000000000001E-5</v>
      </c>
      <c r="G63" s="8">
        <v>1.1399999999999999E-5</v>
      </c>
      <c r="H63" s="8">
        <v>9.1900000000000001E-6</v>
      </c>
      <c r="I63" s="8">
        <v>1.2E-5</v>
      </c>
      <c r="J63" s="8">
        <v>1.8600000000000001E-5</v>
      </c>
      <c r="K63" s="8">
        <v>6.4400000000000002E-6</v>
      </c>
      <c r="L63" s="8">
        <v>9.0799999999999995E-6</v>
      </c>
      <c r="M63" s="8">
        <v>8.3399999999999998E-6</v>
      </c>
      <c r="N63" s="8">
        <v>2.4300000000000001E-5</v>
      </c>
      <c r="O63" s="8">
        <v>4.9200000000000003E-5</v>
      </c>
      <c r="P63" s="8">
        <v>1.7900000000000001E-5</v>
      </c>
      <c r="Q63" s="8">
        <v>8.3499999999999997E-6</v>
      </c>
      <c r="R63" s="8">
        <v>6.8200000000000004E-5</v>
      </c>
    </row>
    <row r="64" spans="1:18" x14ac:dyDescent="0.2">
      <c r="A64" s="7" t="s">
        <v>109</v>
      </c>
      <c r="B64" s="8">
        <v>2.7500000000000001E-5</v>
      </c>
      <c r="C64" s="8">
        <v>4.9100000000000004E-6</v>
      </c>
      <c r="D64" s="8">
        <v>1.6799999999999998E-5</v>
      </c>
      <c r="E64" s="8">
        <v>3.54E-6</v>
      </c>
      <c r="F64" s="8">
        <v>3.8099999999999999E-6</v>
      </c>
      <c r="G64" s="8">
        <v>1.04E-6</v>
      </c>
      <c r="H64" s="8">
        <v>2.08E-6</v>
      </c>
      <c r="I64" s="8">
        <v>7.3100000000000001E-5</v>
      </c>
      <c r="J64" s="8">
        <v>3.0900000000000001E-6</v>
      </c>
      <c r="K64" s="8">
        <v>2.9900000000000002E-6</v>
      </c>
      <c r="L64" s="8">
        <v>1.6500000000000001E-6</v>
      </c>
      <c r="M64" s="8">
        <v>1.22E-6</v>
      </c>
      <c r="N64" s="8">
        <v>2.0099999999999998E-6</v>
      </c>
      <c r="O64" s="8">
        <v>3.8800000000000001E-6</v>
      </c>
      <c r="P64" s="8">
        <v>2.6199999999999999E-6</v>
      </c>
      <c r="Q64" s="8">
        <v>2.1299999999999999E-6</v>
      </c>
      <c r="R64" s="8">
        <v>4.7299999999999996E-6</v>
      </c>
    </row>
    <row r="65" spans="1:18" x14ac:dyDescent="0.2">
      <c r="A65" s="7" t="s">
        <v>172</v>
      </c>
      <c r="B65" s="8">
        <v>2.7E-6</v>
      </c>
      <c r="C65" s="8">
        <v>5.2699999999999999E-7</v>
      </c>
      <c r="D65" s="8">
        <v>1.7099999999999999E-6</v>
      </c>
      <c r="E65" s="8">
        <v>1.7099999999999999E-6</v>
      </c>
      <c r="F65" s="8">
        <v>2.92E-6</v>
      </c>
      <c r="G65" s="8">
        <v>2.3300000000000001E-6</v>
      </c>
      <c r="H65" s="8">
        <v>1.5400000000000001E-6</v>
      </c>
      <c r="I65" s="8">
        <v>3.4000000000000001E-6</v>
      </c>
      <c r="J65" s="8">
        <v>3.4100000000000002E-5</v>
      </c>
      <c r="K65" s="8">
        <v>2.6699999999999998E-6</v>
      </c>
      <c r="L65" s="8">
        <v>6.8299999999999998E-6</v>
      </c>
      <c r="M65" s="8">
        <v>6.3400000000000003E-6</v>
      </c>
      <c r="N65" s="8">
        <v>1.1599999999999999E-6</v>
      </c>
      <c r="O65" s="8">
        <v>3.8600000000000003E-6</v>
      </c>
      <c r="P65" s="8">
        <v>2.57E-6</v>
      </c>
      <c r="Q65" s="8">
        <v>5.1399999999999999E-6</v>
      </c>
      <c r="R65" s="8">
        <v>3.4800000000000001E-6</v>
      </c>
    </row>
    <row r="66" spans="1:18" x14ac:dyDescent="0.2">
      <c r="A66" s="7" t="s">
        <v>173</v>
      </c>
      <c r="B66" s="8">
        <v>6.1299999999999999E-5</v>
      </c>
      <c r="C66" s="8">
        <v>7.5400000000000003E-5</v>
      </c>
      <c r="D66" s="7">
        <v>1.0547E-4</v>
      </c>
      <c r="E66" s="8">
        <v>7.7200000000000006E-5</v>
      </c>
      <c r="F66" s="8">
        <v>9.7100000000000002E-5</v>
      </c>
      <c r="G66" s="8">
        <v>8.2100000000000003E-5</v>
      </c>
      <c r="H66" s="8">
        <v>9.5099999999999994E-5</v>
      </c>
      <c r="I66" s="8">
        <v>9.5199999999999997E-5</v>
      </c>
      <c r="J66" s="7">
        <v>0.99990796999999998</v>
      </c>
      <c r="K66" s="7">
        <v>1.1145999999999999E-4</v>
      </c>
      <c r="L66" s="7">
        <v>2.4495000000000002E-4</v>
      </c>
      <c r="M66" s="7">
        <v>0.99031477999999995</v>
      </c>
      <c r="N66" s="8">
        <v>7.9400000000000006E-5</v>
      </c>
      <c r="O66" s="8">
        <v>8.8599999999999999E-5</v>
      </c>
      <c r="P66" s="8">
        <v>8.8599999999999999E-5</v>
      </c>
      <c r="Q66" s="8">
        <v>9.4900000000000003E-5</v>
      </c>
      <c r="R66" s="8">
        <v>9.6399999999999999E-5</v>
      </c>
    </row>
    <row r="67" spans="1:18" x14ac:dyDescent="0.2">
      <c r="A67" s="7" t="s">
        <v>159</v>
      </c>
      <c r="B67" s="8">
        <v>9.9300000000000001E-5</v>
      </c>
      <c r="C67" s="7">
        <v>2.4089000000000001E-4</v>
      </c>
      <c r="D67" s="7">
        <v>1.0616999999999999E-4</v>
      </c>
      <c r="E67" s="8">
        <v>9.7E-5</v>
      </c>
      <c r="F67" s="7">
        <v>1.0931E-4</v>
      </c>
      <c r="G67" s="8">
        <v>5.8499999999999999E-5</v>
      </c>
      <c r="H67" s="7">
        <v>0.99899548000000005</v>
      </c>
      <c r="I67" s="8">
        <v>9.2800000000000006E-5</v>
      </c>
      <c r="J67" s="8">
        <v>9.0099999999999995E-5</v>
      </c>
      <c r="K67" s="8">
        <v>5.8199999999999998E-5</v>
      </c>
      <c r="L67" s="8">
        <v>5.0399999999999999E-5</v>
      </c>
      <c r="M67" s="8">
        <v>4.9799999999999998E-5</v>
      </c>
      <c r="N67" s="8">
        <v>4.2200000000000003E-5</v>
      </c>
      <c r="O67" s="7">
        <v>1.25E-4</v>
      </c>
      <c r="P67" s="7">
        <v>1.0692999999999999E-4</v>
      </c>
      <c r="Q67" s="8">
        <v>5.2899999999999998E-5</v>
      </c>
      <c r="R67" s="8">
        <v>7.2700000000000005E-5</v>
      </c>
    </row>
    <row r="68" spans="1:18" x14ac:dyDescent="0.2">
      <c r="A68" s="7" t="s">
        <v>174</v>
      </c>
      <c r="B68" s="7">
        <v>1.4563999999999999E-4</v>
      </c>
      <c r="C68" s="8">
        <v>6.02E-5</v>
      </c>
      <c r="D68" s="8">
        <v>5.6499999999999998E-5</v>
      </c>
      <c r="E68" s="8">
        <v>8.4900000000000004E-5</v>
      </c>
      <c r="F68" s="8">
        <v>8.1899999999999999E-5</v>
      </c>
      <c r="G68" s="8">
        <v>8.5000000000000006E-5</v>
      </c>
      <c r="H68" s="8">
        <v>7.1799999999999997E-5</v>
      </c>
      <c r="I68" s="8">
        <v>5.4200000000000003E-5</v>
      </c>
      <c r="J68" s="7">
        <v>0.9998011</v>
      </c>
      <c r="K68" s="7">
        <v>0.99367625000000004</v>
      </c>
      <c r="L68" s="7">
        <v>2.1157000000000001E-4</v>
      </c>
      <c r="M68" s="7">
        <v>5.4365999999999995E-4</v>
      </c>
      <c r="N68" s="8">
        <v>7.2000000000000002E-5</v>
      </c>
      <c r="O68" s="8">
        <v>9.5500000000000004E-5</v>
      </c>
      <c r="P68" s="8">
        <v>8.5799999999999998E-5</v>
      </c>
      <c r="Q68" s="8">
        <v>6.7700000000000006E-5</v>
      </c>
      <c r="R68" s="8">
        <v>4.46E-5</v>
      </c>
    </row>
    <row r="69" spans="1:18" x14ac:dyDescent="0.2">
      <c r="A69" s="7" t="s">
        <v>106</v>
      </c>
      <c r="B69" s="8">
        <v>2.0000000000000002E-5</v>
      </c>
      <c r="C69" s="8">
        <v>2.0700000000000001E-6</v>
      </c>
      <c r="D69" s="8">
        <v>5.1699999999999996E-6</v>
      </c>
      <c r="E69" s="7">
        <v>0.22624131</v>
      </c>
      <c r="F69" s="8">
        <v>5.8000000000000004E-6</v>
      </c>
      <c r="G69" s="8">
        <v>4.2699999999999998E-6</v>
      </c>
      <c r="H69" s="8">
        <v>5.48E-6</v>
      </c>
      <c r="I69" s="8">
        <v>7.1600000000000001E-6</v>
      </c>
      <c r="J69" s="8">
        <v>1.1600000000000001E-5</v>
      </c>
      <c r="K69" s="8">
        <v>7.9100000000000005E-6</v>
      </c>
      <c r="L69" s="8">
        <v>7.0099999999999998E-6</v>
      </c>
      <c r="M69" s="8">
        <v>6.5400000000000001E-6</v>
      </c>
      <c r="N69" s="8">
        <v>3.8000000000000002E-5</v>
      </c>
      <c r="O69" s="8">
        <v>1.0699999999999999E-5</v>
      </c>
      <c r="P69" s="8">
        <v>2.26E-5</v>
      </c>
      <c r="Q69" s="8">
        <v>1.0200000000000001E-5</v>
      </c>
      <c r="R69" s="8">
        <v>4.3100000000000002E-6</v>
      </c>
    </row>
    <row r="70" spans="1:18" x14ac:dyDescent="0.2">
      <c r="A70" s="7" t="s">
        <v>175</v>
      </c>
      <c r="B70" s="8">
        <v>8.6999999999999997E-6</v>
      </c>
      <c r="C70" s="8">
        <v>3.8299999999999998E-7</v>
      </c>
      <c r="D70" s="8">
        <v>9.5200000000000003E-6</v>
      </c>
      <c r="E70" s="8">
        <v>2.7999999999999999E-6</v>
      </c>
      <c r="F70" s="8">
        <v>6.9999999999999999E-6</v>
      </c>
      <c r="G70" s="8">
        <v>4.4399999999999998E-6</v>
      </c>
      <c r="H70" s="8">
        <v>1.0899999999999999E-6</v>
      </c>
      <c r="I70" s="8">
        <v>2.19E-5</v>
      </c>
      <c r="J70" s="8">
        <v>8.7399999999999993E-6</v>
      </c>
      <c r="K70" s="8">
        <v>1.53E-6</v>
      </c>
      <c r="L70" s="8">
        <v>2.6400000000000001E-6</v>
      </c>
      <c r="M70" s="8">
        <v>1.26E-6</v>
      </c>
      <c r="N70" s="8">
        <v>3.5300000000000001E-6</v>
      </c>
      <c r="O70" s="7">
        <v>4.7204999999999999E-3</v>
      </c>
      <c r="P70" s="8">
        <v>6.28E-6</v>
      </c>
      <c r="Q70" s="8">
        <v>8.0800000000000006E-6</v>
      </c>
      <c r="R70" s="8">
        <v>2.44E-5</v>
      </c>
    </row>
    <row r="71" spans="1:18" x14ac:dyDescent="0.2">
      <c r="A71" s="7" t="s">
        <v>176</v>
      </c>
      <c r="B71" s="8">
        <v>1.4899999999999999E-6</v>
      </c>
      <c r="C71" s="8">
        <v>9.73E-6</v>
      </c>
      <c r="D71" s="8">
        <v>4.2400000000000001E-6</v>
      </c>
      <c r="E71" s="8">
        <v>2.9900000000000002E-6</v>
      </c>
      <c r="F71" s="8">
        <v>6.0100000000000001E-6</v>
      </c>
      <c r="G71" s="8">
        <v>2.5000000000000002E-6</v>
      </c>
      <c r="H71" s="8">
        <v>1.77E-6</v>
      </c>
      <c r="I71" s="8">
        <v>1.1999999999999999E-6</v>
      </c>
      <c r="J71" s="8">
        <v>4.8899999999999998E-6</v>
      </c>
      <c r="K71" s="8">
        <v>1.4300000000000001E-6</v>
      </c>
      <c r="L71" s="8">
        <v>2.21E-6</v>
      </c>
      <c r="M71" s="8">
        <v>1.1999999999999999E-6</v>
      </c>
      <c r="N71" s="8">
        <v>1.9700000000000002E-6</v>
      </c>
      <c r="O71" s="8">
        <v>2.03E-6</v>
      </c>
      <c r="P71" s="8">
        <v>8.0099999999999995E-6</v>
      </c>
      <c r="Q71" s="8">
        <v>4.0400000000000003E-6</v>
      </c>
      <c r="R71" s="8">
        <v>2.2400000000000002E-6</v>
      </c>
    </row>
    <row r="72" spans="1:18" x14ac:dyDescent="0.2">
      <c r="A72" s="7" t="s">
        <v>177</v>
      </c>
      <c r="B72" s="8">
        <v>3.1000000000000001E-5</v>
      </c>
      <c r="C72" s="8">
        <v>1.08E-5</v>
      </c>
      <c r="D72" s="8">
        <v>2.23E-5</v>
      </c>
      <c r="E72" s="8">
        <v>4.1300000000000001E-5</v>
      </c>
      <c r="F72" s="8">
        <v>2.4700000000000001E-5</v>
      </c>
      <c r="G72" s="8">
        <v>4.07E-5</v>
      </c>
      <c r="H72" s="8">
        <v>2.55E-5</v>
      </c>
      <c r="I72" s="8">
        <v>1.8700000000000001E-5</v>
      </c>
      <c r="J72" s="7">
        <v>1.6123999999999999E-4</v>
      </c>
      <c r="K72" s="8">
        <v>2.2799999999999999E-5</v>
      </c>
      <c r="L72" s="8">
        <v>2.3499999999999999E-5</v>
      </c>
      <c r="M72" s="7">
        <v>3.98535E-2</v>
      </c>
      <c r="N72" s="8">
        <v>5.1400000000000003E-5</v>
      </c>
      <c r="O72" s="8">
        <v>3.15E-5</v>
      </c>
      <c r="P72" s="7">
        <v>0.96011716000000003</v>
      </c>
      <c r="Q72" s="8">
        <v>4.1399999999999997E-5</v>
      </c>
      <c r="R72" s="8">
        <v>2.6100000000000001E-5</v>
      </c>
    </row>
    <row r="73" spans="1:18" x14ac:dyDescent="0.2">
      <c r="A73" s="7" t="s">
        <v>178</v>
      </c>
      <c r="B73" s="8">
        <v>3.8800000000000001E-6</v>
      </c>
      <c r="C73" s="8">
        <v>9.2100000000000003E-5</v>
      </c>
      <c r="D73" s="8">
        <v>1.9700000000000002E-6</v>
      </c>
      <c r="E73" s="8">
        <v>4.8600000000000001E-6</v>
      </c>
      <c r="F73" s="8">
        <v>4.25E-6</v>
      </c>
      <c r="G73" s="8">
        <v>2.4600000000000002E-6</v>
      </c>
      <c r="H73" s="8">
        <v>6.0599999999999996E-6</v>
      </c>
      <c r="I73" s="8">
        <v>1.4500000000000001E-6</v>
      </c>
      <c r="J73" s="8">
        <v>3.6200000000000001E-6</v>
      </c>
      <c r="K73" s="8">
        <v>1.11E-6</v>
      </c>
      <c r="L73" s="8">
        <v>9.9900000000000009E-7</v>
      </c>
      <c r="M73" s="8">
        <v>1.46E-6</v>
      </c>
      <c r="N73" s="8">
        <v>1.7799999999999999E-5</v>
      </c>
      <c r="O73" s="8">
        <v>3.5200000000000002E-6</v>
      </c>
      <c r="P73" s="8">
        <v>3.6799999999999999E-6</v>
      </c>
      <c r="Q73" s="8">
        <v>8.1900000000000001E-7</v>
      </c>
      <c r="R73" s="8">
        <v>2.6599999999999999E-5</v>
      </c>
    </row>
    <row r="74" spans="1:18" x14ac:dyDescent="0.2">
      <c r="A74" s="7" t="s">
        <v>136</v>
      </c>
      <c r="B74" s="8">
        <v>2.9899999999999998E-5</v>
      </c>
      <c r="C74" s="7">
        <v>4.5166E-4</v>
      </c>
      <c r="D74" s="8">
        <v>1.47E-5</v>
      </c>
      <c r="E74" s="7">
        <v>0.55069131000000004</v>
      </c>
      <c r="F74" s="7">
        <v>0.15676662</v>
      </c>
      <c r="G74" s="8">
        <v>3.1900000000000003E-5</v>
      </c>
      <c r="H74" s="8">
        <v>2.76E-5</v>
      </c>
      <c r="I74" s="8">
        <v>8.5199999999999997E-6</v>
      </c>
      <c r="J74" s="8">
        <v>5.9200000000000002E-5</v>
      </c>
      <c r="K74" s="8">
        <v>1.2500000000000001E-5</v>
      </c>
      <c r="L74" s="8">
        <v>1.5099999999999999E-5</v>
      </c>
      <c r="M74" s="8">
        <v>1.5999999999999999E-5</v>
      </c>
      <c r="N74" s="7">
        <v>5.1044200000000001E-3</v>
      </c>
      <c r="O74" s="8">
        <v>1.7900000000000001E-5</v>
      </c>
      <c r="P74" s="8">
        <v>1.27E-5</v>
      </c>
      <c r="Q74" s="8">
        <v>1.4399999999999999E-5</v>
      </c>
      <c r="R74" s="8">
        <v>3.2199999999999997E-5</v>
      </c>
    </row>
    <row r="75" spans="1:18" x14ac:dyDescent="0.2">
      <c r="A75" s="7" t="s">
        <v>81</v>
      </c>
      <c r="B75" s="8">
        <v>4.71E-5</v>
      </c>
      <c r="C75" s="7">
        <v>2.3429000000000001E-4</v>
      </c>
      <c r="D75" s="8">
        <v>4.8099999999999997E-5</v>
      </c>
      <c r="E75" s="7">
        <v>0.99371224999999996</v>
      </c>
      <c r="F75" s="8">
        <v>1.9199999999999999E-5</v>
      </c>
      <c r="G75" s="8">
        <v>5.0399999999999999E-5</v>
      </c>
      <c r="H75" s="8">
        <v>2.9E-5</v>
      </c>
      <c r="I75" s="8">
        <v>1.8899999999999999E-5</v>
      </c>
      <c r="J75" s="8">
        <v>2.5299999999999998E-5</v>
      </c>
      <c r="K75" s="8">
        <v>1.5999999999999999E-5</v>
      </c>
      <c r="L75" s="8">
        <v>3.8300000000000003E-5</v>
      </c>
      <c r="M75" s="8">
        <v>2.7100000000000001E-5</v>
      </c>
      <c r="N75" s="8">
        <v>2.7900000000000001E-5</v>
      </c>
      <c r="O75" s="8">
        <v>2.3900000000000002E-5</v>
      </c>
      <c r="P75" s="8">
        <v>7.5199999999999998E-5</v>
      </c>
      <c r="Q75" s="8">
        <v>4.1E-5</v>
      </c>
      <c r="R75" s="8">
        <v>2.05E-5</v>
      </c>
    </row>
    <row r="76" spans="1:18" x14ac:dyDescent="0.2">
      <c r="A76" s="7" t="s">
        <v>123</v>
      </c>
      <c r="B76" s="8">
        <v>6.7299999999999996E-5</v>
      </c>
      <c r="C76" s="7">
        <v>3.4026E-4</v>
      </c>
      <c r="D76" s="8">
        <v>6.3700000000000003E-5</v>
      </c>
      <c r="E76" s="7">
        <v>8.5857610000000001E-2</v>
      </c>
      <c r="F76" s="7">
        <v>0.99258524000000004</v>
      </c>
      <c r="G76" s="8">
        <v>6.3299999999999994E-5</v>
      </c>
      <c r="H76" s="8">
        <v>8.03E-5</v>
      </c>
      <c r="I76" s="8">
        <v>2.73E-5</v>
      </c>
      <c r="J76" s="7">
        <v>1.0409E-4</v>
      </c>
      <c r="K76" s="8">
        <v>3.4900000000000001E-5</v>
      </c>
      <c r="L76" s="8">
        <v>5.94E-5</v>
      </c>
      <c r="M76" s="8">
        <v>4.0500000000000002E-5</v>
      </c>
      <c r="N76" s="8">
        <v>3.3200000000000001E-5</v>
      </c>
      <c r="O76" s="8">
        <v>5.7599999999999997E-5</v>
      </c>
      <c r="P76" s="8">
        <v>6.3700000000000003E-5</v>
      </c>
      <c r="Q76" s="8">
        <v>4.3900000000000003E-5</v>
      </c>
      <c r="R76" s="8">
        <v>6.0399999999999998E-5</v>
      </c>
    </row>
    <row r="77" spans="1:18" x14ac:dyDescent="0.2">
      <c r="A77" s="7" t="s">
        <v>179</v>
      </c>
      <c r="B77" s="8">
        <v>3.5099999999999999E-6</v>
      </c>
      <c r="C77" s="8">
        <v>1.3E-6</v>
      </c>
      <c r="D77" s="8">
        <v>8.9600000000000006E-6</v>
      </c>
      <c r="E77" s="8">
        <v>7.3900000000000004E-6</v>
      </c>
      <c r="F77" s="8">
        <v>3.7299999999999999E-6</v>
      </c>
      <c r="G77" s="8">
        <v>1.9999999999999999E-6</v>
      </c>
      <c r="H77" s="8">
        <v>8.5199999999999997E-6</v>
      </c>
      <c r="I77" s="8">
        <v>2.3199999999999998E-6</v>
      </c>
      <c r="J77" s="8">
        <v>2.9399999999999998E-6</v>
      </c>
      <c r="K77" s="8">
        <v>9.95E-7</v>
      </c>
      <c r="L77" s="8">
        <v>3.0199999999999999E-6</v>
      </c>
      <c r="M77" s="8">
        <v>1.3799999999999999E-6</v>
      </c>
      <c r="N77" s="8">
        <v>4.1899999999999997E-6</v>
      </c>
      <c r="O77" s="8">
        <v>5.6999999999999996E-6</v>
      </c>
      <c r="P77" s="8">
        <v>9.5400000000000001E-6</v>
      </c>
      <c r="Q77" s="8">
        <v>1.63E-5</v>
      </c>
      <c r="R77" s="8">
        <v>3.5599999999999998E-6</v>
      </c>
    </row>
    <row r="78" spans="1:18" x14ac:dyDescent="0.2">
      <c r="A78" s="7" t="s">
        <v>180</v>
      </c>
      <c r="B78" s="8">
        <v>8.5900000000000001E-5</v>
      </c>
      <c r="C78" s="8">
        <v>5.52E-5</v>
      </c>
      <c r="D78" s="8">
        <v>6.9400000000000006E-5</v>
      </c>
      <c r="E78" s="7">
        <v>1.9793E-4</v>
      </c>
      <c r="F78" s="8">
        <v>6.7799999999999995E-5</v>
      </c>
      <c r="G78" s="8">
        <v>8.6600000000000004E-5</v>
      </c>
      <c r="H78" s="8">
        <v>5.9799999999999997E-5</v>
      </c>
      <c r="I78" s="8">
        <v>8.3900000000000006E-5</v>
      </c>
      <c r="J78" s="7">
        <v>0.99859279000000001</v>
      </c>
      <c r="K78" s="8">
        <v>8.8900000000000006E-5</v>
      </c>
      <c r="L78" s="7">
        <v>0.99746310999999999</v>
      </c>
      <c r="M78" s="8">
        <v>8.8599999999999999E-5</v>
      </c>
      <c r="N78" s="7">
        <v>2.5207000000000002E-4</v>
      </c>
      <c r="O78" s="8">
        <v>3.79E-5</v>
      </c>
      <c r="P78" s="8">
        <v>4.99E-5</v>
      </c>
      <c r="Q78" s="8">
        <v>5.41E-5</v>
      </c>
      <c r="R78" s="7">
        <v>1.0267E-4</v>
      </c>
    </row>
    <row r="79" spans="1:18" x14ac:dyDescent="0.2">
      <c r="A79" s="7" t="s">
        <v>134</v>
      </c>
      <c r="B79" s="8">
        <v>1.8300000000000001E-5</v>
      </c>
      <c r="C79" s="8">
        <v>1.8E-7</v>
      </c>
      <c r="D79" s="7">
        <v>2.1253E-4</v>
      </c>
      <c r="E79" s="8">
        <v>3.1099999999999997E-5</v>
      </c>
      <c r="F79" s="8">
        <v>6.3300000000000004E-6</v>
      </c>
      <c r="G79" s="8">
        <v>4.8099999999999997E-6</v>
      </c>
      <c r="H79" s="8">
        <v>5.2800000000000003E-6</v>
      </c>
      <c r="I79" s="8">
        <v>1.0200000000000001E-5</v>
      </c>
      <c r="J79" s="8">
        <v>8.1799999999999996E-6</v>
      </c>
      <c r="K79" s="8">
        <v>6.8600000000000004E-6</v>
      </c>
      <c r="L79" s="8">
        <v>7.3599999999999998E-6</v>
      </c>
      <c r="M79" s="8">
        <v>3.67E-6</v>
      </c>
      <c r="N79" s="8">
        <v>3.1200000000000002E-6</v>
      </c>
      <c r="O79" s="8">
        <v>7.86E-5</v>
      </c>
      <c r="P79" s="8">
        <v>3.27E-6</v>
      </c>
      <c r="Q79" s="7">
        <v>3.4232500000000001E-3</v>
      </c>
      <c r="R79" s="8">
        <v>3.7500000000000001E-6</v>
      </c>
    </row>
    <row r="80" spans="1:18" x14ac:dyDescent="0.2">
      <c r="A80" s="7" t="s">
        <v>181</v>
      </c>
      <c r="B80" s="8">
        <v>2.5799999999999999E-6</v>
      </c>
      <c r="C80" s="8">
        <v>1.08E-6</v>
      </c>
      <c r="D80" s="8">
        <v>1.28E-6</v>
      </c>
      <c r="E80" s="7">
        <v>2.3573999999999999E-4</v>
      </c>
      <c r="F80" s="8">
        <v>6.8199999999999999E-6</v>
      </c>
      <c r="G80" s="8">
        <v>3.7299999999999999E-6</v>
      </c>
      <c r="H80" s="8">
        <v>1.8300000000000001E-6</v>
      </c>
      <c r="I80" s="8">
        <v>2.5900000000000002E-6</v>
      </c>
      <c r="J80" s="8">
        <v>7.2099999999999996E-6</v>
      </c>
      <c r="K80" s="8">
        <v>1.7600000000000001E-6</v>
      </c>
      <c r="L80" s="8">
        <v>2.52E-6</v>
      </c>
      <c r="M80" s="8">
        <v>2.5000000000000002E-6</v>
      </c>
      <c r="N80" s="8">
        <v>5.5899999999999998E-6</v>
      </c>
      <c r="O80" s="8">
        <v>6.0900000000000001E-6</v>
      </c>
      <c r="P80" s="8">
        <v>5.2000000000000002E-6</v>
      </c>
      <c r="Q80" s="8">
        <v>6.0900000000000001E-6</v>
      </c>
      <c r="R80" s="8">
        <v>9.73E-6</v>
      </c>
    </row>
    <row r="81" spans="1:18" x14ac:dyDescent="0.2">
      <c r="A81" s="7" t="s">
        <v>182</v>
      </c>
      <c r="B81" s="8">
        <v>6.6699999999999995E-5</v>
      </c>
      <c r="C81" s="7">
        <v>1.1398E-4</v>
      </c>
      <c r="D81" s="8">
        <v>6.0600000000000003E-5</v>
      </c>
      <c r="E81" s="7">
        <v>0.99951338999999995</v>
      </c>
      <c r="F81" s="8">
        <v>5.2899999999999998E-5</v>
      </c>
      <c r="G81" s="8">
        <v>6.3800000000000006E-5</v>
      </c>
      <c r="H81" s="8">
        <v>8.1699999999999994E-5</v>
      </c>
      <c r="I81" s="8">
        <v>4.6199999999999998E-5</v>
      </c>
      <c r="J81" s="8">
        <v>9.5600000000000006E-5</v>
      </c>
      <c r="K81" s="8">
        <v>5.2200000000000002E-5</v>
      </c>
      <c r="L81" s="8">
        <v>8.3999999999999995E-5</v>
      </c>
      <c r="M81" s="8">
        <v>5.38E-5</v>
      </c>
      <c r="N81" s="7">
        <v>2.9645000000000002E-4</v>
      </c>
      <c r="O81" s="8">
        <v>9.3700000000000001E-5</v>
      </c>
      <c r="P81" s="7">
        <v>1.0802E-4</v>
      </c>
      <c r="Q81" s="8">
        <v>7.9099999999999998E-5</v>
      </c>
      <c r="R81" s="7">
        <v>1.2747E-4</v>
      </c>
    </row>
    <row r="82" spans="1:18" x14ac:dyDescent="0.2">
      <c r="A82" s="7" t="s">
        <v>83</v>
      </c>
      <c r="B82" s="8">
        <v>9.9099999999999996E-5</v>
      </c>
      <c r="C82" s="7">
        <v>1.4999999999999999E-4</v>
      </c>
      <c r="D82" s="8">
        <v>5.0800000000000002E-5</v>
      </c>
      <c r="E82" s="7">
        <v>0.99910706000000005</v>
      </c>
      <c r="F82" s="8">
        <v>4.6E-5</v>
      </c>
      <c r="G82" s="8">
        <v>7.6899999999999999E-5</v>
      </c>
      <c r="H82" s="8">
        <v>5.1100000000000002E-5</v>
      </c>
      <c r="I82" s="8">
        <v>3.1099999999999997E-5</v>
      </c>
      <c r="J82" s="8">
        <v>7.2700000000000005E-5</v>
      </c>
      <c r="K82" s="8">
        <v>2.76E-5</v>
      </c>
      <c r="L82" s="8">
        <v>8.1799999999999996E-5</v>
      </c>
      <c r="M82" s="8">
        <v>4.3600000000000003E-5</v>
      </c>
      <c r="N82" s="8">
        <v>5.8600000000000001E-5</v>
      </c>
      <c r="O82" s="8">
        <v>9.31E-5</v>
      </c>
      <c r="P82" s="8">
        <v>8.0500000000000005E-5</v>
      </c>
      <c r="Q82" s="8">
        <v>6.1600000000000007E-5</v>
      </c>
      <c r="R82" s="8">
        <v>7.2100000000000004E-5</v>
      </c>
    </row>
    <row r="83" spans="1:18" x14ac:dyDescent="0.2">
      <c r="A83" s="7" t="s">
        <v>183</v>
      </c>
      <c r="B83" s="7">
        <v>0.45525673</v>
      </c>
      <c r="C83" s="8">
        <v>2.3700000000000002E-6</v>
      </c>
      <c r="D83" s="8">
        <v>6.7000000000000002E-6</v>
      </c>
      <c r="E83" s="7">
        <v>1.9050999999999999E-4</v>
      </c>
      <c r="F83" s="8">
        <v>6.7700000000000004E-6</v>
      </c>
      <c r="G83" s="8">
        <v>6.3799999999999999E-6</v>
      </c>
      <c r="H83" s="8">
        <v>5.9900000000000002E-6</v>
      </c>
      <c r="I83" s="8">
        <v>7.2699999999999999E-6</v>
      </c>
      <c r="J83" s="7">
        <v>2.8703000000000002E-4</v>
      </c>
      <c r="K83" s="8">
        <v>8.3100000000000001E-6</v>
      </c>
      <c r="L83" s="8">
        <v>1.04E-5</v>
      </c>
      <c r="M83" s="8">
        <v>1.9599999999999999E-5</v>
      </c>
      <c r="N83" s="7">
        <v>1.5815E-4</v>
      </c>
      <c r="O83" s="8">
        <v>3.7400000000000002E-6</v>
      </c>
      <c r="P83" s="8">
        <v>1.4800000000000001E-5</v>
      </c>
      <c r="Q83" s="8">
        <v>5.1000000000000003E-6</v>
      </c>
      <c r="R83" s="8">
        <v>3.7400000000000002E-6</v>
      </c>
    </row>
    <row r="84" spans="1:18" x14ac:dyDescent="0.2">
      <c r="A84" s="7" t="s">
        <v>85</v>
      </c>
      <c r="B84" s="7">
        <v>0.97884892999999995</v>
      </c>
      <c r="C84" s="7">
        <v>3.9460999999999999E-4</v>
      </c>
      <c r="D84" s="7">
        <v>2.1508000000000001E-4</v>
      </c>
      <c r="E84" s="7">
        <v>0.99945861000000003</v>
      </c>
      <c r="F84" s="7">
        <v>1.3794999999999999E-4</v>
      </c>
      <c r="G84" s="7">
        <v>2.3662999999999999E-4</v>
      </c>
      <c r="H84" s="7">
        <v>1.8645000000000001E-4</v>
      </c>
      <c r="I84" s="7">
        <v>2.0845999999999999E-4</v>
      </c>
      <c r="J84" s="7">
        <v>2.2086999999999999E-4</v>
      </c>
      <c r="K84" s="8">
        <v>8.6199999999999995E-5</v>
      </c>
      <c r="L84" s="7">
        <v>2.4562999999999999E-4</v>
      </c>
      <c r="M84" s="7">
        <v>1.7893E-4</v>
      </c>
      <c r="N84" s="7">
        <v>1.4495999999999999E-4</v>
      </c>
      <c r="O84" s="7">
        <v>1.1166E-4</v>
      </c>
      <c r="P84" s="7">
        <v>2.3557E-4</v>
      </c>
      <c r="Q84" s="7">
        <v>1.6443999999999999E-4</v>
      </c>
      <c r="R84" s="7">
        <v>1.0325E-4</v>
      </c>
    </row>
    <row r="85" spans="1:18" x14ac:dyDescent="0.2">
      <c r="A85" s="7" t="s">
        <v>125</v>
      </c>
      <c r="B85" s="8">
        <v>3.01E-5</v>
      </c>
      <c r="C85" s="7">
        <v>0.66039914</v>
      </c>
      <c r="D85" s="8">
        <v>7.7199999999999998E-7</v>
      </c>
      <c r="E85" s="8">
        <v>1.5E-5</v>
      </c>
      <c r="F85" s="8">
        <v>7.8299999999999996E-6</v>
      </c>
      <c r="G85" s="8">
        <v>1.0699999999999999E-5</v>
      </c>
      <c r="H85" s="8">
        <v>1.0699999999999999E-6</v>
      </c>
      <c r="I85" s="8">
        <v>4.25E-6</v>
      </c>
      <c r="J85" s="8">
        <v>4.4399999999999998E-6</v>
      </c>
      <c r="K85" s="8">
        <v>2.39E-6</v>
      </c>
      <c r="L85" s="8">
        <v>3.3699999999999999E-6</v>
      </c>
      <c r="M85" s="8">
        <v>2.74E-6</v>
      </c>
      <c r="N85" s="8">
        <v>9.7599999999999997E-6</v>
      </c>
      <c r="O85" s="8">
        <v>1.42E-5</v>
      </c>
      <c r="P85" s="8">
        <v>7.0999999999999998E-6</v>
      </c>
      <c r="Q85" s="8">
        <v>3.3799999999999998E-6</v>
      </c>
      <c r="R85" s="7">
        <v>2.3731300000000002E-3</v>
      </c>
    </row>
    <row r="86" spans="1:18" x14ac:dyDescent="0.2">
      <c r="A86" s="7" t="s">
        <v>184</v>
      </c>
      <c r="B86" s="7">
        <v>1.5572000000000001E-4</v>
      </c>
      <c r="C86" s="7">
        <v>2.0267000000000001E-4</v>
      </c>
      <c r="D86" s="7">
        <v>1.3605E-4</v>
      </c>
      <c r="E86" s="7">
        <v>1.8480999999999999E-4</v>
      </c>
      <c r="F86" s="7">
        <v>1.5934E-4</v>
      </c>
      <c r="G86" s="7">
        <v>1.6474999999999999E-4</v>
      </c>
      <c r="H86" s="7">
        <v>2.1657999999999999E-4</v>
      </c>
      <c r="I86" s="7">
        <v>1.2420000000000001E-4</v>
      </c>
      <c r="J86" s="7">
        <v>0.99968553000000004</v>
      </c>
      <c r="K86" s="7">
        <v>0.99958473000000003</v>
      </c>
      <c r="L86" s="7">
        <v>2.6949E-4</v>
      </c>
      <c r="M86" s="7">
        <v>2.8992999999999998E-4</v>
      </c>
      <c r="N86" s="7">
        <v>1.8977999999999999E-4</v>
      </c>
      <c r="O86" s="7">
        <v>1.2579999999999999E-4</v>
      </c>
      <c r="P86" s="7">
        <v>1.8616999999999999E-4</v>
      </c>
      <c r="Q86" s="7">
        <v>2.0693E-4</v>
      </c>
      <c r="R86" s="7">
        <v>1.3616999999999999E-4</v>
      </c>
    </row>
    <row r="87" spans="1:18" x14ac:dyDescent="0.2">
      <c r="A87" s="7" t="s">
        <v>185</v>
      </c>
      <c r="B87" s="8">
        <v>1.0900000000000001E-5</v>
      </c>
      <c r="C87" s="7">
        <v>1.1666E-4</v>
      </c>
      <c r="D87" s="8">
        <v>6.0300000000000002E-5</v>
      </c>
      <c r="E87" s="8">
        <v>3.3099999999999998E-5</v>
      </c>
      <c r="F87" s="7">
        <v>0.89760613</v>
      </c>
      <c r="G87" s="8">
        <v>2.16E-5</v>
      </c>
      <c r="H87" s="8">
        <v>5.8799999999999999E-5</v>
      </c>
      <c r="I87" s="8">
        <v>5.7299999999999997E-5</v>
      </c>
      <c r="J87" s="7">
        <v>4.1350000000000002E-4</v>
      </c>
      <c r="K87" s="8">
        <v>2.8099999999999999E-5</v>
      </c>
      <c r="L87" s="8">
        <v>3.01E-5</v>
      </c>
      <c r="M87" s="7">
        <v>0.64791655999999997</v>
      </c>
      <c r="N87" s="8">
        <v>2.58E-5</v>
      </c>
      <c r="O87" s="8">
        <v>2.7900000000000001E-5</v>
      </c>
      <c r="P87" s="8">
        <v>4.3300000000000002E-5</v>
      </c>
      <c r="Q87" s="8">
        <v>2.1399999999999998E-5</v>
      </c>
      <c r="R87" s="8">
        <v>9.1299999999999997E-5</v>
      </c>
    </row>
    <row r="88" spans="1:18" x14ac:dyDescent="0.2">
      <c r="A88" s="7" t="s">
        <v>112</v>
      </c>
      <c r="B88" s="7">
        <v>2.676E-4</v>
      </c>
      <c r="C88" s="8">
        <v>2.4000000000000001E-5</v>
      </c>
      <c r="D88" s="8">
        <v>7.6899999999999992E-6</v>
      </c>
      <c r="E88" s="8">
        <v>4.1499999999999999E-5</v>
      </c>
      <c r="F88" s="8">
        <v>6.9E-6</v>
      </c>
      <c r="G88" s="8">
        <v>9.1300000000000007E-6</v>
      </c>
      <c r="H88" s="8">
        <v>1.0499999999999999E-5</v>
      </c>
      <c r="I88" s="8">
        <v>1.33E-5</v>
      </c>
      <c r="J88" s="8">
        <v>1.6399999999999999E-5</v>
      </c>
      <c r="K88" s="8">
        <v>5.7799999999999997E-6</v>
      </c>
      <c r="L88" s="8">
        <v>6.37E-6</v>
      </c>
      <c r="M88" s="8">
        <v>1.4800000000000001E-5</v>
      </c>
      <c r="N88" s="7">
        <v>0.473084</v>
      </c>
      <c r="O88" s="8">
        <v>6.1E-6</v>
      </c>
      <c r="P88" s="8">
        <v>1.0499999999999999E-5</v>
      </c>
      <c r="Q88" s="8">
        <v>7.5299999999999999E-6</v>
      </c>
      <c r="R88" s="8">
        <v>4.9799999999999998E-6</v>
      </c>
    </row>
    <row r="89" spans="1:18" x14ac:dyDescent="0.2">
      <c r="A89" s="7" t="s">
        <v>186</v>
      </c>
      <c r="B89" s="7">
        <v>1.141E-4</v>
      </c>
      <c r="C89" s="7">
        <v>1.5045E-4</v>
      </c>
      <c r="D89" s="7">
        <v>1.2412999999999999E-4</v>
      </c>
      <c r="E89" s="7">
        <v>1.6751E-4</v>
      </c>
      <c r="F89" s="7">
        <v>1.1085E-4</v>
      </c>
      <c r="G89" s="7">
        <v>1.8437999999999999E-4</v>
      </c>
      <c r="H89" s="7">
        <v>1.3799999999999999E-4</v>
      </c>
      <c r="I89" s="7">
        <v>1.5150999999999999E-4</v>
      </c>
      <c r="J89" s="7">
        <v>0.99980884999999997</v>
      </c>
      <c r="K89" s="7">
        <v>2.2845E-4</v>
      </c>
      <c r="L89" s="7">
        <v>2.3231E-4</v>
      </c>
      <c r="M89" s="7">
        <v>0.99911528999999999</v>
      </c>
      <c r="N89" s="7">
        <v>1.3176999999999999E-4</v>
      </c>
      <c r="O89" s="8">
        <v>9.0299999999999999E-5</v>
      </c>
      <c r="P89" s="7">
        <v>1.1008E-4</v>
      </c>
      <c r="Q89" s="8">
        <v>9.6899999999999997E-5</v>
      </c>
      <c r="R89" s="7">
        <v>1.1846E-4</v>
      </c>
    </row>
    <row r="90" spans="1:18" x14ac:dyDescent="0.2">
      <c r="A90" s="7" t="s">
        <v>88</v>
      </c>
      <c r="B90" s="7">
        <v>1.0357E-4</v>
      </c>
      <c r="C90" s="7">
        <v>2.1740999999999999E-4</v>
      </c>
      <c r="D90" s="7">
        <v>1.3443E-4</v>
      </c>
      <c r="E90" s="8">
        <v>8.0699999999999996E-5</v>
      </c>
      <c r="F90" s="7">
        <v>0.9997161</v>
      </c>
      <c r="G90" s="7">
        <v>1.1582999999999999E-4</v>
      </c>
      <c r="H90" s="8">
        <v>7.9099999999999998E-5</v>
      </c>
      <c r="I90" s="8">
        <v>9.7600000000000001E-5</v>
      </c>
      <c r="J90" s="7">
        <v>1.6761E-4</v>
      </c>
      <c r="K90" s="7">
        <v>1.0799E-4</v>
      </c>
      <c r="L90" s="8">
        <v>8.4900000000000004E-5</v>
      </c>
      <c r="M90" s="7">
        <v>1.0018000000000001E-4</v>
      </c>
      <c r="N90" s="7">
        <v>1.0569E-4</v>
      </c>
      <c r="O90" s="7">
        <v>1.2798E-4</v>
      </c>
      <c r="P90" s="7">
        <v>1.2713000000000001E-4</v>
      </c>
      <c r="Q90" s="7">
        <v>1.1245E-4</v>
      </c>
      <c r="R90" s="7">
        <v>1.0823999999999999E-4</v>
      </c>
    </row>
    <row r="91" spans="1:18" x14ac:dyDescent="0.2">
      <c r="A91" s="7" t="s">
        <v>89</v>
      </c>
      <c r="B91" s="8">
        <v>3.0699999999999998E-6</v>
      </c>
      <c r="C91" s="8">
        <v>5.7599999999999999E-6</v>
      </c>
      <c r="D91" s="8">
        <v>3.01E-6</v>
      </c>
      <c r="E91" s="8">
        <v>1.2100000000000001E-6</v>
      </c>
      <c r="F91" s="8">
        <v>1.9199999999999998E-6</v>
      </c>
      <c r="G91" s="8">
        <v>1.5099999999999999E-6</v>
      </c>
      <c r="H91" s="8">
        <v>2.8499999999999998E-6</v>
      </c>
      <c r="I91" s="8">
        <v>1.9199999999999998E-6</v>
      </c>
      <c r="J91" s="8">
        <v>7.4100000000000002E-6</v>
      </c>
      <c r="K91" s="8">
        <v>1.79E-6</v>
      </c>
      <c r="L91" s="8">
        <v>1.86E-6</v>
      </c>
      <c r="M91" s="8">
        <v>2.6599999999999999E-6</v>
      </c>
      <c r="N91" s="8">
        <v>4.6600000000000003E-6</v>
      </c>
      <c r="O91" s="8">
        <v>3.1599999999999998E-6</v>
      </c>
      <c r="P91" s="8">
        <v>3.54E-6</v>
      </c>
      <c r="Q91" s="8">
        <v>1.31E-6</v>
      </c>
      <c r="R91" s="8">
        <v>3.1200000000000002E-6</v>
      </c>
    </row>
    <row r="92" spans="1:18" x14ac:dyDescent="0.2">
      <c r="A92" s="7" t="s">
        <v>90</v>
      </c>
      <c r="B92" s="8">
        <v>7.6000000000000004E-5</v>
      </c>
      <c r="C92" s="8">
        <v>9.5400000000000001E-5</v>
      </c>
      <c r="D92" s="8">
        <v>1.7E-5</v>
      </c>
      <c r="E92" s="8">
        <v>1.5299999999999999E-5</v>
      </c>
      <c r="F92" s="8">
        <v>2.5199999999999999E-5</v>
      </c>
      <c r="G92" s="8">
        <v>1.9199999999999999E-5</v>
      </c>
      <c r="H92" s="8">
        <v>1.7E-5</v>
      </c>
      <c r="I92" s="8">
        <v>3.2700000000000002E-5</v>
      </c>
      <c r="J92" s="8">
        <v>2.9600000000000001E-5</v>
      </c>
      <c r="K92" s="8">
        <v>1.98E-5</v>
      </c>
      <c r="L92" s="8">
        <v>2.5899999999999999E-5</v>
      </c>
      <c r="M92" s="8">
        <v>1.7200000000000001E-5</v>
      </c>
      <c r="N92" s="8">
        <v>2.34E-5</v>
      </c>
      <c r="O92" s="7">
        <v>0.99771261</v>
      </c>
      <c r="P92" s="8">
        <v>2.0699999999999998E-5</v>
      </c>
      <c r="Q92" s="8">
        <v>3.8699999999999999E-5</v>
      </c>
      <c r="R92" s="7">
        <v>3.4673000000000001E-4</v>
      </c>
    </row>
    <row r="93" spans="1:18" x14ac:dyDescent="0.2">
      <c r="A93" s="7" t="s">
        <v>91</v>
      </c>
      <c r="B93" s="7">
        <v>1.3883999999999999E-4</v>
      </c>
      <c r="C93" s="7">
        <v>2.6835999999999999E-4</v>
      </c>
      <c r="D93" s="7">
        <v>1.2788E-4</v>
      </c>
      <c r="E93" s="8">
        <v>8.2899999999999996E-5</v>
      </c>
      <c r="F93" s="7">
        <v>0.99967563000000004</v>
      </c>
      <c r="G93" s="8">
        <v>8.8599999999999999E-5</v>
      </c>
      <c r="H93" s="8">
        <v>7.6600000000000005E-5</v>
      </c>
      <c r="I93" s="7">
        <v>1.1881E-4</v>
      </c>
      <c r="J93" s="7">
        <v>1.2519000000000001E-4</v>
      </c>
      <c r="K93" s="8">
        <v>7.3899999999999994E-5</v>
      </c>
      <c r="L93" s="8">
        <v>6.6199999999999996E-5</v>
      </c>
      <c r="M93" s="8">
        <v>9.6799999999999995E-5</v>
      </c>
      <c r="N93" s="8">
        <v>8.6899999999999998E-5</v>
      </c>
      <c r="O93" s="7">
        <v>1.2405000000000001E-4</v>
      </c>
      <c r="P93" s="7">
        <v>1.1846E-4</v>
      </c>
      <c r="Q93" s="8">
        <v>8.2700000000000004E-5</v>
      </c>
      <c r="R93" s="7">
        <v>1.5059000000000001E-4</v>
      </c>
    </row>
    <row r="94" spans="1:18" x14ac:dyDescent="0.2">
      <c r="A94" s="7" t="s">
        <v>92</v>
      </c>
      <c r="B94" s="8">
        <v>7.1400000000000001E-5</v>
      </c>
      <c r="C94" s="7">
        <v>3.0106000000000002E-4</v>
      </c>
      <c r="D94" s="8">
        <v>9.59E-5</v>
      </c>
      <c r="E94" s="7">
        <v>3.8927999999999999E-4</v>
      </c>
      <c r="F94" s="7">
        <v>0.99955647999999997</v>
      </c>
      <c r="G94" s="7">
        <v>1.2579999999999999E-4</v>
      </c>
      <c r="H94" s="8">
        <v>9.2899999999999995E-5</v>
      </c>
      <c r="I94" s="8">
        <v>7.6899999999999999E-5</v>
      </c>
      <c r="J94" s="7">
        <v>1.6864000000000001E-4</v>
      </c>
      <c r="K94" s="8">
        <v>6.4399999999999993E-5</v>
      </c>
      <c r="L94" s="8">
        <v>6.5500000000000006E-5</v>
      </c>
      <c r="M94" s="7">
        <v>1.1641000000000001E-4</v>
      </c>
      <c r="N94" s="8">
        <v>6.7700000000000006E-5</v>
      </c>
      <c r="O94" s="8">
        <v>8.3900000000000006E-5</v>
      </c>
      <c r="P94" s="8">
        <v>7.9499999999999994E-5</v>
      </c>
      <c r="Q94" s="8">
        <v>6.7399999999999998E-5</v>
      </c>
      <c r="R94" s="8">
        <v>6.6500000000000004E-5</v>
      </c>
    </row>
    <row r="95" spans="1:18" x14ac:dyDescent="0.2">
      <c r="A95" s="7" t="s">
        <v>187</v>
      </c>
      <c r="B95" s="7">
        <v>1.3839000000000001E-4</v>
      </c>
      <c r="C95" s="7">
        <v>2.7900000000000001E-4</v>
      </c>
      <c r="D95" s="8">
        <v>9.7999999999999997E-5</v>
      </c>
      <c r="E95" s="8">
        <v>7.3700000000000002E-5</v>
      </c>
      <c r="F95" s="7">
        <v>0.99966036999999996</v>
      </c>
      <c r="G95" s="8">
        <v>5.49E-5</v>
      </c>
      <c r="H95" s="7">
        <v>1.0817E-4</v>
      </c>
      <c r="I95" s="8">
        <v>7.0699999999999997E-5</v>
      </c>
      <c r="J95" s="7">
        <v>1.9201E-4</v>
      </c>
      <c r="K95" s="8">
        <v>8.7499999999999999E-5</v>
      </c>
      <c r="L95" s="8">
        <v>8.9400000000000005E-5</v>
      </c>
      <c r="M95" s="8">
        <v>9.2700000000000004E-5</v>
      </c>
      <c r="N95" s="7">
        <v>1.459E-4</v>
      </c>
      <c r="O95" s="7">
        <v>1.2757E-4</v>
      </c>
      <c r="P95" s="7">
        <v>1.1746E-4</v>
      </c>
      <c r="Q95" s="8">
        <v>6.41E-5</v>
      </c>
      <c r="R95" s="7">
        <v>1.3877E-4</v>
      </c>
    </row>
    <row r="96" spans="1:18" x14ac:dyDescent="0.2">
      <c r="A96" s="7" t="s">
        <v>129</v>
      </c>
      <c r="B96" s="8">
        <v>9.3900000000000006E-5</v>
      </c>
      <c r="C96" s="7">
        <v>2.6404E-4</v>
      </c>
      <c r="D96" s="7">
        <v>1.7305000000000001E-4</v>
      </c>
      <c r="E96" s="8">
        <v>8.4099999999999998E-5</v>
      </c>
      <c r="F96" s="7">
        <v>0.99966741000000003</v>
      </c>
      <c r="G96" s="8">
        <v>6.2299999999999996E-5</v>
      </c>
      <c r="H96" s="8">
        <v>9.3800000000000003E-5</v>
      </c>
      <c r="I96" s="8">
        <v>6.4499999999999996E-5</v>
      </c>
      <c r="J96" s="7">
        <v>1.3076E-4</v>
      </c>
      <c r="K96" s="8">
        <v>7.47E-5</v>
      </c>
      <c r="L96" s="8">
        <v>8.0599999999999994E-5</v>
      </c>
      <c r="M96" s="7">
        <v>1.0921000000000001E-4</v>
      </c>
      <c r="N96" s="8">
        <v>8.9499999999999994E-5</v>
      </c>
      <c r="O96" s="7">
        <v>1.4561000000000001E-4</v>
      </c>
      <c r="P96" s="7">
        <v>1.1662E-4</v>
      </c>
      <c r="Q96" s="8">
        <v>8.9099999999999997E-5</v>
      </c>
      <c r="R96" s="7">
        <v>1.3368000000000001E-4</v>
      </c>
    </row>
    <row r="97" spans="1:18" x14ac:dyDescent="0.2">
      <c r="A97" s="7" t="s">
        <v>188</v>
      </c>
      <c r="B97" s="8">
        <v>7.08E-5</v>
      </c>
      <c r="C97" s="8">
        <v>7.4200000000000001E-5</v>
      </c>
      <c r="D97" s="8">
        <v>3.4499999999999998E-5</v>
      </c>
      <c r="E97" s="8">
        <v>6.6500000000000004E-5</v>
      </c>
      <c r="F97" s="8">
        <v>6.5900000000000003E-5</v>
      </c>
      <c r="G97" s="8">
        <v>3.0899999999999999E-5</v>
      </c>
      <c r="H97" s="8">
        <v>6.2600000000000004E-5</v>
      </c>
      <c r="I97" s="8">
        <v>6.9200000000000002E-5</v>
      </c>
      <c r="J97" s="8">
        <v>6.3299999999999994E-5</v>
      </c>
      <c r="K97" s="8">
        <v>4.0599999999999998E-5</v>
      </c>
      <c r="L97" s="8">
        <v>5.4400000000000001E-5</v>
      </c>
      <c r="M97" s="8">
        <v>3.3300000000000003E-5</v>
      </c>
      <c r="N97" s="7">
        <v>1.2998E-4</v>
      </c>
      <c r="O97" s="7">
        <v>0.99976187999999999</v>
      </c>
      <c r="P97" s="8">
        <v>3.9700000000000003E-5</v>
      </c>
      <c r="Q97" s="8">
        <v>4.35E-5</v>
      </c>
      <c r="R97" s="7">
        <v>1.7750869999999998E-2</v>
      </c>
    </row>
    <row r="98" spans="1:18" x14ac:dyDescent="0.2">
      <c r="A98" s="7" t="s">
        <v>113</v>
      </c>
      <c r="B98" s="8">
        <v>3.9899999999999999E-6</v>
      </c>
      <c r="C98" s="7">
        <v>2.4610000000000002E-4</v>
      </c>
      <c r="D98" s="8">
        <v>1.0899999999999999E-6</v>
      </c>
      <c r="E98" s="8">
        <v>1.0300000000000001E-6</v>
      </c>
      <c r="F98" s="8">
        <v>6.1199999999999999E-6</v>
      </c>
      <c r="G98" s="8">
        <v>5.8200000000000002E-6</v>
      </c>
      <c r="H98" s="8">
        <v>3.5999999999999998E-6</v>
      </c>
      <c r="I98" s="8">
        <v>1.8899999999999999E-6</v>
      </c>
      <c r="J98" s="8">
        <v>5.0499999999999999E-6</v>
      </c>
      <c r="K98" s="8">
        <v>1.7600000000000001E-6</v>
      </c>
      <c r="L98" s="8">
        <v>3.4599999999999999E-6</v>
      </c>
      <c r="M98" s="8">
        <v>3.0400000000000001E-6</v>
      </c>
      <c r="N98" s="8">
        <v>1.8099999999999999E-5</v>
      </c>
      <c r="O98" s="7">
        <v>1.7098189999999999E-2</v>
      </c>
      <c r="P98" s="8">
        <v>5.49E-6</v>
      </c>
      <c r="Q98" s="8">
        <v>3.6100000000000002E-6</v>
      </c>
      <c r="R98" s="7">
        <v>2.9153000000000002E-4</v>
      </c>
    </row>
    <row r="99" spans="1:18" x14ac:dyDescent="0.2">
      <c r="A99" s="7" t="s">
        <v>114</v>
      </c>
      <c r="B99" s="8">
        <v>1.98E-5</v>
      </c>
      <c r="C99" s="8">
        <v>4.88E-5</v>
      </c>
      <c r="D99" s="8">
        <v>2.1100000000000001E-6</v>
      </c>
      <c r="E99" s="8">
        <v>3.7500000000000001E-6</v>
      </c>
      <c r="F99" s="8">
        <v>1.1400000000000001E-6</v>
      </c>
      <c r="G99" s="8">
        <v>7.0900000000000001E-7</v>
      </c>
      <c r="H99" s="8">
        <v>8.8100000000000001E-7</v>
      </c>
      <c r="I99" s="8">
        <v>1.31E-6</v>
      </c>
      <c r="J99" s="8">
        <v>3.8700000000000002E-6</v>
      </c>
      <c r="K99" s="8">
        <v>2.2000000000000001E-6</v>
      </c>
      <c r="L99" s="8">
        <v>1.57E-6</v>
      </c>
      <c r="M99" s="8">
        <v>2.1299999999999999E-6</v>
      </c>
      <c r="N99" s="8">
        <v>4.6199999999999998E-6</v>
      </c>
      <c r="O99" s="8">
        <v>4.6E-6</v>
      </c>
      <c r="P99" s="8">
        <v>3.1E-6</v>
      </c>
      <c r="Q99" s="8">
        <v>1.9099999999999999E-6</v>
      </c>
      <c r="R99" s="8">
        <v>3.6399999999999999E-6</v>
      </c>
    </row>
    <row r="100" spans="1:18" x14ac:dyDescent="0.2">
      <c r="A100" s="7" t="s">
        <v>115</v>
      </c>
      <c r="B100" s="8">
        <v>6.8599999999999998E-7</v>
      </c>
      <c r="C100" s="8">
        <v>3.9199999999999997E-5</v>
      </c>
      <c r="D100" s="8">
        <v>2.83E-6</v>
      </c>
      <c r="E100" s="8">
        <v>6.0599999999999996E-6</v>
      </c>
      <c r="F100" s="8">
        <v>3.9700000000000001E-6</v>
      </c>
      <c r="G100" s="8">
        <v>1.99E-6</v>
      </c>
      <c r="H100" s="8">
        <v>1.0000000000000001E-5</v>
      </c>
      <c r="I100" s="8">
        <v>6.1399999999999997E-7</v>
      </c>
      <c r="J100" s="8">
        <v>6.2500000000000003E-6</v>
      </c>
      <c r="K100" s="8">
        <v>1.3200000000000001E-6</v>
      </c>
      <c r="L100" s="8">
        <v>2.1399999999999998E-6</v>
      </c>
      <c r="M100" s="8">
        <v>1.48E-6</v>
      </c>
      <c r="N100" s="8">
        <v>1.0200000000000001E-5</v>
      </c>
      <c r="O100" s="8">
        <v>2.5599999999999999E-5</v>
      </c>
      <c r="P100" s="8">
        <v>2.08E-6</v>
      </c>
      <c r="Q100" s="8">
        <v>2.83E-6</v>
      </c>
      <c r="R100" s="8">
        <v>1.3E-6</v>
      </c>
    </row>
    <row r="101" spans="1:18" x14ac:dyDescent="0.2">
      <c r="A101" s="7" t="s">
        <v>94</v>
      </c>
      <c r="B101" s="7">
        <v>1.2425000000000001E-4</v>
      </c>
      <c r="C101" s="7">
        <v>2.2834E-4</v>
      </c>
      <c r="D101" s="8">
        <v>5.8300000000000001E-5</v>
      </c>
      <c r="E101" s="7">
        <v>0.99954270999999995</v>
      </c>
      <c r="F101" s="8">
        <v>5.91E-5</v>
      </c>
      <c r="G101" s="8">
        <v>9.2499999999999999E-5</v>
      </c>
      <c r="H101" s="8">
        <v>5.1999999999999997E-5</v>
      </c>
      <c r="I101" s="8">
        <v>4.8699999999999998E-5</v>
      </c>
      <c r="J101" s="8">
        <v>9.3399999999999993E-5</v>
      </c>
      <c r="K101" s="8">
        <v>3.7100000000000001E-5</v>
      </c>
      <c r="L101" s="8">
        <v>9.0000000000000006E-5</v>
      </c>
      <c r="M101" s="8">
        <v>5.8199999999999998E-5</v>
      </c>
      <c r="N101" s="8">
        <v>8.14E-5</v>
      </c>
      <c r="O101" s="8">
        <v>9.3499999999999996E-5</v>
      </c>
      <c r="P101" s="8">
        <v>8.7499999999999999E-5</v>
      </c>
      <c r="Q101" s="8">
        <v>8.3900000000000006E-5</v>
      </c>
      <c r="R101" s="8">
        <v>8.4599999999999996E-5</v>
      </c>
    </row>
    <row r="102" spans="1:18" x14ac:dyDescent="0.2">
      <c r="A102" s="7" t="s">
        <v>128</v>
      </c>
      <c r="B102" s="8">
        <v>5.7200000000000001E-5</v>
      </c>
      <c r="C102" s="7">
        <v>1.6496999999999999E-4</v>
      </c>
      <c r="D102" s="8">
        <v>5.7599999999999997E-5</v>
      </c>
      <c r="E102" s="8">
        <v>7.9900000000000004E-5</v>
      </c>
      <c r="F102" s="8">
        <v>8.9599999999999996E-5</v>
      </c>
      <c r="G102" s="8">
        <v>8.1100000000000006E-5</v>
      </c>
      <c r="H102" s="8">
        <v>5.7800000000000002E-5</v>
      </c>
      <c r="I102" s="8">
        <v>9.6399999999999999E-5</v>
      </c>
      <c r="J102" s="7">
        <v>1.31576E-3</v>
      </c>
      <c r="K102" s="7">
        <v>1.089E-4</v>
      </c>
      <c r="L102" s="8">
        <v>4.3600000000000003E-5</v>
      </c>
      <c r="M102" s="7">
        <v>0.99987590000000004</v>
      </c>
      <c r="N102" s="8">
        <v>8.2999999999999998E-5</v>
      </c>
      <c r="O102" s="8">
        <v>9.4400000000000004E-5</v>
      </c>
      <c r="P102" s="8">
        <v>8.5500000000000005E-5</v>
      </c>
      <c r="Q102" s="8">
        <v>5.9799999999999997E-5</v>
      </c>
      <c r="R102" s="8">
        <v>8.8300000000000005E-5</v>
      </c>
    </row>
    <row r="103" spans="1:18" x14ac:dyDescent="0.2">
      <c r="A103" s="7" t="s">
        <v>95</v>
      </c>
      <c r="B103" s="8">
        <v>5.9899999999999999E-5</v>
      </c>
      <c r="C103" s="8">
        <v>2.2299999999999998E-6</v>
      </c>
      <c r="D103" s="8">
        <v>6.0800000000000002E-6</v>
      </c>
      <c r="E103" s="8">
        <v>2.8200000000000001E-6</v>
      </c>
      <c r="F103" s="8">
        <v>1.19E-6</v>
      </c>
      <c r="G103" s="8">
        <v>1.26E-6</v>
      </c>
      <c r="H103" s="8">
        <v>2.4200000000000001E-6</v>
      </c>
      <c r="I103" s="8">
        <v>1.4300000000000001E-6</v>
      </c>
      <c r="J103" s="8">
        <v>3.7900000000000001E-6</v>
      </c>
      <c r="K103" s="8">
        <v>1.42E-6</v>
      </c>
      <c r="L103" s="8">
        <v>2.0600000000000002E-6</v>
      </c>
      <c r="M103" s="8">
        <v>2.2800000000000002E-6</v>
      </c>
      <c r="N103" s="8">
        <v>3.7699999999999999E-6</v>
      </c>
      <c r="O103" s="8">
        <v>6.7100000000000001E-6</v>
      </c>
      <c r="P103" s="8">
        <v>4.1799999999999998E-6</v>
      </c>
      <c r="Q103" s="8">
        <v>1.8500000000000001E-6</v>
      </c>
      <c r="R103" s="8">
        <v>3.8E-6</v>
      </c>
    </row>
    <row r="104" spans="1:18" x14ac:dyDescent="0.2">
      <c r="A104" s="7" t="s">
        <v>189</v>
      </c>
      <c r="B104" s="7">
        <v>1.1128000000000001E-4</v>
      </c>
      <c r="C104" s="7">
        <v>1.6343999999999999E-4</v>
      </c>
      <c r="D104" s="8">
        <v>9.7700000000000003E-5</v>
      </c>
      <c r="E104" s="7">
        <v>3.8199000000000002E-4</v>
      </c>
      <c r="F104" s="7">
        <v>0.99946314000000003</v>
      </c>
      <c r="G104" s="8">
        <v>7.2899999999999997E-5</v>
      </c>
      <c r="H104" s="8">
        <v>8.25E-5</v>
      </c>
      <c r="I104" s="7">
        <v>1.1022E-4</v>
      </c>
      <c r="J104" s="7">
        <v>1.8747999999999999E-4</v>
      </c>
      <c r="K104" s="8">
        <v>5.8400000000000003E-5</v>
      </c>
      <c r="L104" s="8">
        <v>7.3300000000000006E-5</v>
      </c>
      <c r="M104" s="8">
        <v>9.7800000000000006E-5</v>
      </c>
      <c r="N104" s="8">
        <v>5.3000000000000001E-5</v>
      </c>
      <c r="O104" s="8">
        <v>7.1400000000000001E-5</v>
      </c>
      <c r="P104" s="8">
        <v>8.8599999999999999E-5</v>
      </c>
      <c r="Q104" s="8">
        <v>6.6400000000000001E-5</v>
      </c>
      <c r="R104" s="8">
        <v>6.5300000000000002E-5</v>
      </c>
    </row>
    <row r="105" spans="1:18" x14ac:dyDescent="0.2">
      <c r="A105" s="7" t="s">
        <v>190</v>
      </c>
      <c r="B105" s="8">
        <v>1.22E-5</v>
      </c>
      <c r="C105" s="7">
        <v>1.0859E-4</v>
      </c>
      <c r="D105" s="8">
        <v>4.1100000000000003E-5</v>
      </c>
      <c r="E105" s="8">
        <v>4.71E-5</v>
      </c>
      <c r="F105" s="7">
        <v>0.99058842999999996</v>
      </c>
      <c r="G105" s="8">
        <v>3.0599999999999998E-5</v>
      </c>
      <c r="H105" s="8">
        <v>3.8699999999999999E-5</v>
      </c>
      <c r="I105" s="8">
        <v>3.0199999999999999E-5</v>
      </c>
      <c r="J105" s="8">
        <v>9.9599999999999995E-5</v>
      </c>
      <c r="K105" s="8">
        <v>2.0599999999999999E-5</v>
      </c>
      <c r="L105" s="8">
        <v>2.97E-5</v>
      </c>
      <c r="M105" s="8">
        <v>3.5200000000000002E-5</v>
      </c>
      <c r="N105" s="8">
        <v>2.0699999999999998E-5</v>
      </c>
      <c r="O105" s="8">
        <v>4.35E-5</v>
      </c>
      <c r="P105" s="8">
        <v>7.4400000000000006E-5</v>
      </c>
      <c r="Q105" s="8">
        <v>2.6599999999999999E-5</v>
      </c>
      <c r="R105" s="8">
        <v>3.5299999999999997E-5</v>
      </c>
    </row>
    <row r="106" spans="1:18" x14ac:dyDescent="0.2">
      <c r="A106" s="7" t="s">
        <v>97</v>
      </c>
      <c r="B106" s="8">
        <v>3.7299999999999999E-5</v>
      </c>
      <c r="C106" s="8">
        <v>2.3099999999999999E-5</v>
      </c>
      <c r="D106" s="8">
        <v>1.9400000000000001E-5</v>
      </c>
      <c r="E106" s="8">
        <v>2.9799999999999999E-5</v>
      </c>
      <c r="F106" s="8">
        <v>1.73E-5</v>
      </c>
      <c r="G106" s="8">
        <v>1.6799999999999998E-5</v>
      </c>
      <c r="H106" s="8">
        <v>2.0999999999999999E-5</v>
      </c>
      <c r="I106" s="8">
        <v>1.7E-5</v>
      </c>
      <c r="J106" s="7">
        <v>0.99986958999999997</v>
      </c>
      <c r="K106" s="8">
        <v>8.9900000000000003E-5</v>
      </c>
      <c r="L106" s="7">
        <v>1.1527999999999999E-4</v>
      </c>
      <c r="M106" s="7">
        <v>8.0146999999999998E-4</v>
      </c>
      <c r="N106" s="8">
        <v>2.62E-5</v>
      </c>
      <c r="O106" s="8">
        <v>1.6500000000000001E-5</v>
      </c>
      <c r="P106" s="8">
        <v>3.1399999999999998E-5</v>
      </c>
      <c r="Q106" s="8">
        <v>1.43E-5</v>
      </c>
      <c r="R106" s="8">
        <v>1.6799999999999998E-5</v>
      </c>
    </row>
    <row r="107" spans="1:18" x14ac:dyDescent="0.2">
      <c r="A107" s="7" t="s">
        <v>191</v>
      </c>
      <c r="B107" s="7">
        <v>1.0746E-4</v>
      </c>
      <c r="C107" s="7">
        <v>1.5678999999999999E-4</v>
      </c>
      <c r="D107" s="8">
        <v>9.4500000000000007E-5</v>
      </c>
      <c r="E107" s="8">
        <v>9.6399999999999999E-5</v>
      </c>
      <c r="F107" s="8">
        <v>7.5799999999999999E-5</v>
      </c>
      <c r="G107" s="8">
        <v>8.4300000000000003E-5</v>
      </c>
      <c r="H107" s="8">
        <v>9.8999999999999994E-5</v>
      </c>
      <c r="I107" s="8">
        <v>8.4099999999999998E-5</v>
      </c>
      <c r="J107" s="7">
        <v>0.99987340000000002</v>
      </c>
      <c r="K107" s="7">
        <v>3.4928999999999998E-4</v>
      </c>
      <c r="L107" s="7">
        <v>3.9343000000000001E-4</v>
      </c>
      <c r="M107" s="7">
        <v>0.99675422999999996</v>
      </c>
      <c r="N107" s="8">
        <v>7.3700000000000002E-5</v>
      </c>
      <c r="O107" s="8">
        <v>8.4300000000000003E-5</v>
      </c>
      <c r="P107" s="8">
        <v>8.2399999999999997E-5</v>
      </c>
      <c r="Q107" s="8">
        <v>7.64E-5</v>
      </c>
      <c r="R107" s="8">
        <v>8.0099999999999995E-5</v>
      </c>
    </row>
    <row r="108" spans="1:18" x14ac:dyDescent="0.2">
      <c r="A108" s="7" t="s">
        <v>135</v>
      </c>
      <c r="B108" s="8">
        <v>3.0000000000000001E-5</v>
      </c>
      <c r="C108" s="7">
        <v>0.99557846999999999</v>
      </c>
      <c r="D108" s="8">
        <v>2.4600000000000002E-5</v>
      </c>
      <c r="E108" s="8">
        <v>5.5000000000000002E-5</v>
      </c>
      <c r="F108" s="8">
        <v>5.49E-5</v>
      </c>
      <c r="G108" s="8">
        <v>4.1199999999999999E-5</v>
      </c>
      <c r="H108" s="8">
        <v>3.2199999999999997E-5</v>
      </c>
      <c r="I108" s="8">
        <v>3.68E-5</v>
      </c>
      <c r="J108" s="8">
        <v>3.18E-5</v>
      </c>
      <c r="K108" s="8">
        <v>1.9400000000000001E-5</v>
      </c>
      <c r="L108" s="8">
        <v>2.0699999999999998E-5</v>
      </c>
      <c r="M108" s="8">
        <v>2.2500000000000001E-5</v>
      </c>
      <c r="N108" s="7">
        <v>0.30166751000000003</v>
      </c>
      <c r="O108" s="8">
        <v>1.2E-5</v>
      </c>
      <c r="P108" s="8">
        <v>3.1999999999999999E-5</v>
      </c>
      <c r="Q108" s="8">
        <v>1.84E-5</v>
      </c>
      <c r="R108" s="8">
        <v>4.1399999999999997E-5</v>
      </c>
    </row>
    <row r="109" spans="1:18" x14ac:dyDescent="0.2">
      <c r="A109" s="7" t="s">
        <v>116</v>
      </c>
      <c r="B109" s="8">
        <v>3.0499999999999999E-5</v>
      </c>
      <c r="C109" s="7">
        <v>0.99711525000000001</v>
      </c>
      <c r="D109" s="8">
        <v>1.4E-5</v>
      </c>
      <c r="E109" s="8">
        <v>5.3399999999999997E-5</v>
      </c>
      <c r="F109" s="8">
        <v>1.9700000000000001E-5</v>
      </c>
      <c r="G109" s="8">
        <v>4.1499999999999999E-5</v>
      </c>
      <c r="H109" s="8">
        <v>1.0499999999999999E-5</v>
      </c>
      <c r="I109" s="8">
        <v>1.22E-5</v>
      </c>
      <c r="J109" s="8">
        <v>1.8700000000000001E-5</v>
      </c>
      <c r="K109" s="8">
        <v>9.2199999999999998E-6</v>
      </c>
      <c r="L109" s="8">
        <v>6.3300000000000004E-6</v>
      </c>
      <c r="M109" s="8">
        <v>1.0499999999999999E-5</v>
      </c>
      <c r="N109" s="7">
        <v>4.7851000000000002E-4</v>
      </c>
      <c r="O109" s="8">
        <v>5.2399999999999998E-6</v>
      </c>
      <c r="P109" s="8">
        <v>1.9199999999999999E-5</v>
      </c>
      <c r="Q109" s="8">
        <v>8.0399999999999993E-6</v>
      </c>
      <c r="R109" s="8">
        <v>2.0999999999999999E-5</v>
      </c>
    </row>
    <row r="110" spans="1:18" x14ac:dyDescent="0.2">
      <c r="A110" s="7" t="s">
        <v>98</v>
      </c>
      <c r="B110" s="8">
        <v>9.5500000000000004E-5</v>
      </c>
      <c r="C110" s="7">
        <v>1.7027000000000001E-4</v>
      </c>
      <c r="D110" s="7">
        <v>1.3815999999999999E-4</v>
      </c>
      <c r="E110" s="7">
        <v>1.2407E-4</v>
      </c>
      <c r="F110" s="7">
        <v>1.2244E-4</v>
      </c>
      <c r="G110" s="8">
        <v>8.2600000000000002E-5</v>
      </c>
      <c r="H110" s="8">
        <v>8.8900000000000006E-5</v>
      </c>
      <c r="I110" s="7">
        <v>0.99975508000000002</v>
      </c>
      <c r="J110" s="7">
        <v>1.6997E-4</v>
      </c>
      <c r="K110" s="7">
        <v>1.0049E-4</v>
      </c>
      <c r="L110" s="7">
        <v>1.1741E-4</v>
      </c>
      <c r="M110" s="7">
        <v>1.5271999999999999E-4</v>
      </c>
      <c r="N110" s="7">
        <v>1.5032000000000001E-4</v>
      </c>
      <c r="O110" s="7">
        <v>1.2980000000000001E-4</v>
      </c>
      <c r="P110" s="7">
        <v>1.3833000000000001E-4</v>
      </c>
      <c r="Q110" s="7">
        <v>1.0804E-4</v>
      </c>
      <c r="R110" s="7">
        <v>1.3098999999999999E-4</v>
      </c>
    </row>
    <row r="111" spans="1:18" x14ac:dyDescent="0.2">
      <c r="A111" s="7" t="s">
        <v>99</v>
      </c>
      <c r="B111" s="7">
        <v>1.1487E-4</v>
      </c>
      <c r="C111" s="7">
        <v>1.8741E-4</v>
      </c>
      <c r="D111" s="7">
        <v>1.3464999999999999E-4</v>
      </c>
      <c r="E111" s="7">
        <v>1.4145E-4</v>
      </c>
      <c r="F111" s="7">
        <v>1.2684E-4</v>
      </c>
      <c r="G111" s="8">
        <v>9.1799999999999995E-5</v>
      </c>
      <c r="H111" s="7">
        <v>1.0136000000000001E-4</v>
      </c>
      <c r="I111" s="7">
        <v>0.99978834000000005</v>
      </c>
      <c r="J111" s="7">
        <v>1.5304000000000001E-4</v>
      </c>
      <c r="K111" s="7">
        <v>1.0127E-4</v>
      </c>
      <c r="L111" s="7">
        <v>1.2142E-4</v>
      </c>
      <c r="M111" s="7">
        <v>1.6368E-4</v>
      </c>
      <c r="N111" s="7">
        <v>1.4705999999999999E-4</v>
      </c>
      <c r="O111" s="7">
        <v>1.4416E-4</v>
      </c>
      <c r="P111" s="7">
        <v>1.5018E-4</v>
      </c>
      <c r="Q111" s="7">
        <v>1.1145999999999999E-4</v>
      </c>
      <c r="R111" s="7">
        <v>1.5788E-4</v>
      </c>
    </row>
    <row r="112" spans="1:18" x14ac:dyDescent="0.2">
      <c r="A112" s="7" t="s">
        <v>119</v>
      </c>
      <c r="B112" s="8">
        <v>2.7300000000000001E-6</v>
      </c>
      <c r="C112" s="8">
        <v>6.9299999999999997E-6</v>
      </c>
      <c r="D112" s="8">
        <v>3.32E-6</v>
      </c>
      <c r="E112" s="8">
        <v>5.7300000000000002E-6</v>
      </c>
      <c r="F112" s="8">
        <v>4.2599999999999999E-6</v>
      </c>
      <c r="G112" s="8">
        <v>2.7800000000000001E-6</v>
      </c>
      <c r="H112" s="8">
        <v>4.3200000000000001E-6</v>
      </c>
      <c r="I112" s="7">
        <v>4.5580899999999999E-3</v>
      </c>
      <c r="J112" s="8">
        <v>3.5899999999999999E-6</v>
      </c>
      <c r="K112" s="8">
        <v>3.2899999999999998E-6</v>
      </c>
      <c r="L112" s="8">
        <v>3.0199999999999999E-6</v>
      </c>
      <c r="M112" s="8">
        <v>1.9099999999999999E-6</v>
      </c>
      <c r="N112" s="8">
        <v>4.3699999999999997E-6</v>
      </c>
      <c r="O112" s="8">
        <v>6.4799999999999998E-6</v>
      </c>
      <c r="P112" s="8">
        <v>6.6699999999999997E-6</v>
      </c>
      <c r="Q112" s="8">
        <v>6.7499999999999997E-6</v>
      </c>
      <c r="R112" s="8">
        <v>1.31E-5</v>
      </c>
    </row>
    <row r="113" spans="1:18" x14ac:dyDescent="0.2">
      <c r="A113" s="7" t="s">
        <v>100</v>
      </c>
      <c r="B113" s="8">
        <v>6.5400000000000001E-6</v>
      </c>
      <c r="C113" s="8">
        <v>9.9099999999999996E-5</v>
      </c>
      <c r="D113" s="8">
        <v>7.4200000000000001E-6</v>
      </c>
      <c r="E113" s="8">
        <v>1.5200000000000001E-6</v>
      </c>
      <c r="F113" s="8">
        <v>1.77E-6</v>
      </c>
      <c r="G113" s="8">
        <v>1.17E-6</v>
      </c>
      <c r="H113" s="8">
        <v>2.5900000000000002E-6</v>
      </c>
      <c r="I113" s="8">
        <v>7.0399999999999995E-7</v>
      </c>
      <c r="J113" s="8">
        <v>3.41E-6</v>
      </c>
      <c r="K113" s="8">
        <v>9.64E-7</v>
      </c>
      <c r="L113" s="8">
        <v>1.59E-6</v>
      </c>
      <c r="M113" s="8">
        <v>2.2199999999999999E-6</v>
      </c>
      <c r="N113" s="8">
        <v>2.5500000000000001E-6</v>
      </c>
      <c r="O113" s="8">
        <v>5.3399999999999997E-6</v>
      </c>
      <c r="P113" s="8">
        <v>3.1999999999999999E-6</v>
      </c>
      <c r="Q113" s="8">
        <v>1.0699999999999999E-6</v>
      </c>
      <c r="R113" s="8">
        <v>2.9799999999999998E-6</v>
      </c>
    </row>
    <row r="114" spans="1:18" x14ac:dyDescent="0.2">
      <c r="A114" s="7" t="s">
        <v>192</v>
      </c>
      <c r="B114" s="7">
        <v>4.4980999999999998E-4</v>
      </c>
      <c r="C114" s="8">
        <v>8.2999999999999998E-5</v>
      </c>
      <c r="D114" s="8">
        <v>7.64E-5</v>
      </c>
      <c r="E114" s="7">
        <v>0.99943978</v>
      </c>
      <c r="F114" s="8">
        <v>5.3199999999999999E-5</v>
      </c>
      <c r="G114" s="7">
        <v>1.0491E-4</v>
      </c>
      <c r="H114" s="8">
        <v>5.3000000000000001E-5</v>
      </c>
      <c r="I114" s="8">
        <v>5.0800000000000002E-5</v>
      </c>
      <c r="J114" s="7">
        <v>1.0304E-4</v>
      </c>
      <c r="K114" s="8">
        <v>4.5800000000000002E-5</v>
      </c>
      <c r="L114" s="8">
        <v>7.4099999999999999E-5</v>
      </c>
      <c r="M114" s="7">
        <v>1.3634000000000001E-4</v>
      </c>
      <c r="N114" s="8">
        <v>3.65E-5</v>
      </c>
      <c r="O114" s="8">
        <v>6.0900000000000003E-5</v>
      </c>
      <c r="P114" s="8">
        <v>7.4599999999999997E-5</v>
      </c>
      <c r="Q114" s="8">
        <v>5.9500000000000003E-5</v>
      </c>
      <c r="R114" s="8">
        <v>5.4599999999999999E-5</v>
      </c>
    </row>
    <row r="115" spans="1:18" x14ac:dyDescent="0.2">
      <c r="A115" s="7" t="s">
        <v>102</v>
      </c>
      <c r="B115" s="7">
        <v>1.3537E-4</v>
      </c>
      <c r="C115" s="8">
        <v>3.6999999999999998E-5</v>
      </c>
      <c r="D115" s="8">
        <v>6.7100000000000005E-5</v>
      </c>
      <c r="E115" s="7">
        <v>0.99573188999999995</v>
      </c>
      <c r="F115" s="8">
        <v>4.2899999999999999E-5</v>
      </c>
      <c r="G115" s="8">
        <v>4.8600000000000002E-5</v>
      </c>
      <c r="H115" s="8">
        <v>3.57E-5</v>
      </c>
      <c r="I115" s="8">
        <v>7.3399999999999995E-5</v>
      </c>
      <c r="J115" s="8">
        <v>5.9500000000000003E-5</v>
      </c>
      <c r="K115" s="8">
        <v>3.9400000000000002E-5</v>
      </c>
      <c r="L115" s="8">
        <v>5.9200000000000002E-5</v>
      </c>
      <c r="M115" s="8">
        <v>5.2500000000000002E-5</v>
      </c>
      <c r="N115" s="7">
        <v>7.0416439999999997E-2</v>
      </c>
      <c r="O115" s="8">
        <v>4.8199999999999999E-5</v>
      </c>
      <c r="P115" s="8">
        <v>5.5999999999999999E-5</v>
      </c>
      <c r="Q115" s="8">
        <v>6.2700000000000006E-5</v>
      </c>
      <c r="R115" s="8">
        <v>6.8399999999999996E-5</v>
      </c>
    </row>
    <row r="116" spans="1:18" x14ac:dyDescent="0.2">
      <c r="A116" s="7" t="s">
        <v>193</v>
      </c>
      <c r="B116" s="8">
        <v>1.13E-6</v>
      </c>
      <c r="C116" s="8">
        <v>9.8700000000000004E-7</v>
      </c>
      <c r="D116" s="8">
        <v>2.6900000000000001E-6</v>
      </c>
      <c r="E116" s="8">
        <v>5.13E-6</v>
      </c>
      <c r="F116" s="8">
        <v>6.3099999999999997E-6</v>
      </c>
      <c r="G116" s="8">
        <v>1.84E-6</v>
      </c>
      <c r="H116" s="8">
        <v>3.2200000000000001E-6</v>
      </c>
      <c r="I116" s="8">
        <v>1.13E-6</v>
      </c>
      <c r="J116" s="8">
        <v>7.2200000000000003E-6</v>
      </c>
      <c r="K116" s="8">
        <v>2.5000000000000002E-6</v>
      </c>
      <c r="L116" s="8">
        <v>2.2400000000000002E-6</v>
      </c>
      <c r="M116" s="8">
        <v>1.9199999999999998E-6</v>
      </c>
      <c r="N116" s="8">
        <v>3.5099999999999999E-6</v>
      </c>
      <c r="O116" s="8">
        <v>6.55E-6</v>
      </c>
      <c r="P116" s="8">
        <v>1.04E-5</v>
      </c>
      <c r="Q116" s="8">
        <v>6.9399999999999996E-6</v>
      </c>
      <c r="R116" s="8">
        <v>1.9199999999999998E-6</v>
      </c>
    </row>
    <row r="117" spans="1:18" x14ac:dyDescent="0.2">
      <c r="B117" s="5"/>
      <c r="C117" s="5"/>
      <c r="E117" s="5"/>
      <c r="F117" s="5"/>
      <c r="G117" s="5"/>
      <c r="H117" s="5"/>
      <c r="I117" s="5"/>
      <c r="J117" s="5"/>
      <c r="K117" s="5"/>
      <c r="L117" s="5"/>
      <c r="N117" s="5"/>
      <c r="O117" s="5"/>
      <c r="P117" s="5"/>
      <c r="Q117" s="5"/>
    </row>
    <row r="118" spans="1:18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6738-CC25-DA4A-83F1-2B4138C710EE}">
  <dimension ref="A1:AB115"/>
  <sheetViews>
    <sheetView topLeftCell="A49" zoomScale="138" workbookViewId="0">
      <selection activeCell="C1" sqref="C1:XFD1"/>
    </sheetView>
  </sheetViews>
  <sheetFormatPr baseColWidth="10" defaultRowHeight="16" x14ac:dyDescent="0.2"/>
  <cols>
    <col min="1" max="1" width="8.83203125"/>
    <col min="20" max="16384" width="10.83203125" style="2"/>
  </cols>
  <sheetData>
    <row r="1" spans="1:28" ht="43" x14ac:dyDescent="0.2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8" x14ac:dyDescent="0.2">
      <c r="A3" t="s">
        <v>133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8" x14ac:dyDescent="0.2">
      <c r="A4" t="s">
        <v>29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8" x14ac:dyDescent="0.2">
      <c r="A5" t="s">
        <v>30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8" x14ac:dyDescent="0.2">
      <c r="A6" t="s">
        <v>120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8" x14ac:dyDescent="0.2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8" x14ac:dyDescent="0.2">
      <c r="A8" t="s">
        <v>32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28" x14ac:dyDescent="0.2">
      <c r="A9" t="s">
        <v>33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8" x14ac:dyDescent="0.2">
      <c r="A10" t="s">
        <v>34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8" x14ac:dyDescent="0.2">
      <c r="A11" t="s">
        <v>35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8" x14ac:dyDescent="0.2">
      <c r="A12" t="s">
        <v>36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8" x14ac:dyDescent="0.2">
      <c r="A13" t="s">
        <v>37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8" x14ac:dyDescent="0.2">
      <c r="A14" t="s">
        <v>38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8" x14ac:dyDescent="0.2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8" x14ac:dyDescent="0.2">
      <c r="A16" t="s">
        <v>40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">
      <c r="A17" t="s">
        <v>41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42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43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44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45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ht="238" x14ac:dyDescent="0.2">
      <c r="A22" s="2" t="s">
        <v>142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t="s">
        <v>141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46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48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47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50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51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52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53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54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">
      <c r="A33" t="s">
        <v>121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55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">
      <c r="A35" t="s">
        <v>56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t="s">
        <v>57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">
      <c r="A38" t="s">
        <v>59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">
      <c r="A39" t="s">
        <v>131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">
      <c r="A40" t="s">
        <v>60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 x14ac:dyDescent="0.2">
      <c r="A42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">
      <c r="A43" t="s">
        <v>63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">
      <c r="A44" t="s">
        <v>139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</row>
    <row r="45" spans="1:19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">
      <c r="A48" t="s">
        <v>67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69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">
      <c r="A52" t="s">
        <v>70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">
      <c r="A54" t="s">
        <v>72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">
      <c r="A55" t="s">
        <v>73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">
      <c r="A56" t="s">
        <v>138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</row>
    <row r="57" spans="1:19" x14ac:dyDescent="0.2">
      <c r="A57" t="s">
        <v>74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</row>
    <row r="58" spans="1:19" x14ac:dyDescent="0.2">
      <c r="A58" t="s">
        <v>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</row>
    <row r="59" spans="1:19" x14ac:dyDescent="0.2">
      <c r="A59" t="s">
        <v>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</row>
    <row r="60" spans="1:19" x14ac:dyDescent="0.2">
      <c r="A60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</row>
    <row r="61" spans="1:19" x14ac:dyDescent="0.2">
      <c r="A61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</row>
    <row r="62" spans="1:19" x14ac:dyDescent="0.2">
      <c r="A62" t="s">
        <v>79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">
      <c r="A63" t="s">
        <v>110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</row>
    <row r="64" spans="1:19" x14ac:dyDescent="0.2">
      <c r="A64" t="s">
        <v>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</row>
    <row r="65" spans="1:19" x14ac:dyDescent="0.2">
      <c r="A65" t="s">
        <v>108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">
      <c r="A66" t="s">
        <v>60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">
      <c r="A67" t="s">
        <v>103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">
      <c r="A68" t="s">
        <v>106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">
      <c r="A69" t="s">
        <v>105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">
      <c r="A70" t="s">
        <v>104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">
      <c r="A71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</row>
    <row r="72" spans="1:19" x14ac:dyDescent="0.2">
      <c r="A72" t="s">
        <v>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">
      <c r="A73" t="s">
        <v>136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">
      <c r="A74" t="s">
        <v>81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">
      <c r="A75" t="s">
        <v>123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">
      <c r="A76" t="s">
        <v>111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">
      <c r="A77" t="s">
        <v>124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">
      <c r="A78" t="s">
        <v>134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">
      <c r="A79" t="s">
        <v>82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">
      <c r="A80" t="s">
        <v>132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">
      <c r="A81" t="s">
        <v>83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">
      <c r="A82" t="s">
        <v>84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">
      <c r="A83" t="s">
        <v>85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">
      <c r="A84" t="s">
        <v>125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">
      <c r="A85" t="s">
        <v>86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">
      <c r="A86" t="s">
        <v>126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">
      <c r="A89" t="s">
        <v>88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</row>
    <row r="92" spans="1:19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">
      <c r="A95" t="s">
        <v>129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">
      <c r="A96" t="s">
        <v>130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</row>
    <row r="97" spans="1:19" x14ac:dyDescent="0.2">
      <c r="A97" t="s">
        <v>113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">
      <c r="A98" t="s">
        <v>114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">
      <c r="A99" t="s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">
      <c r="A100" t="s">
        <v>94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">
      <c r="A102" t="s">
        <v>95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">
      <c r="A103" t="s">
        <v>127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</row>
    <row r="104" spans="1:19" x14ac:dyDescent="0.2">
      <c r="A104" t="s">
        <v>96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">
      <c r="A105" t="s">
        <v>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">
      <c r="A107" t="s">
        <v>135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">
      <c r="A108" t="s">
        <v>116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">
      <c r="A109" t="s">
        <v>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">
      <c r="A110" t="s">
        <v>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">
      <c r="A111" t="s">
        <v>119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">
      <c r="A112" t="s">
        <v>100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">
      <c r="A113" t="s">
        <v>101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 t="s">
        <v>102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">
      <c r="A115" t="s">
        <v>118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BA84-7D8F-8C4E-BF4D-58C17251B162}">
  <dimension ref="A1:AB116"/>
  <sheetViews>
    <sheetView tabSelected="1" topLeftCell="A109" zoomScale="138" workbookViewId="0">
      <selection activeCell="E115" sqref="E115"/>
    </sheetView>
  </sheetViews>
  <sheetFormatPr baseColWidth="10" defaultRowHeight="16" x14ac:dyDescent="0.2"/>
  <cols>
    <col min="1" max="1" width="23.1640625" customWidth="1"/>
    <col min="28" max="16384" width="10.83203125" style="2"/>
  </cols>
  <sheetData>
    <row r="1" spans="1:28" x14ac:dyDescent="0.2">
      <c r="A1" s="3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1"/>
    </row>
    <row r="2" spans="1:28" ht="34" x14ac:dyDescent="0.2">
      <c r="A2" s="4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8" ht="17" x14ac:dyDescent="0.2">
      <c r="A3" s="2" t="s">
        <v>133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</row>
    <row r="4" spans="1:28" ht="34" x14ac:dyDescent="0.2">
      <c r="A4" s="4" t="s">
        <v>29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8" ht="51" x14ac:dyDescent="0.2">
      <c r="A5" s="2" t="s">
        <v>30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8" ht="68" x14ac:dyDescent="0.2">
      <c r="A6" s="4" t="s">
        <v>120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8" ht="51" x14ac:dyDescent="0.2">
      <c r="A7" s="2" t="s">
        <v>31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8" ht="51" x14ac:dyDescent="0.2">
      <c r="A8" s="4" t="s">
        <v>32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</row>
    <row r="9" spans="1:28" ht="17" x14ac:dyDescent="0.2">
      <c r="A9" s="2" t="s">
        <v>33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8" ht="34" x14ac:dyDescent="0.2">
      <c r="A10" s="4" t="s">
        <v>34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8" ht="34" x14ac:dyDescent="0.2">
      <c r="A11" s="2" t="s">
        <v>35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8" ht="34" x14ac:dyDescent="0.2">
      <c r="A12" s="4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8" ht="34" x14ac:dyDescent="0.2">
      <c r="A13" s="2" t="s">
        <v>37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8" ht="51" x14ac:dyDescent="0.2">
      <c r="A14" s="4" t="s">
        <v>38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8" ht="17" x14ac:dyDescent="0.2">
      <c r="A15" s="2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8" ht="34" x14ac:dyDescent="0.2">
      <c r="A16" s="4" t="s">
        <v>40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t="34" x14ac:dyDescent="0.2">
      <c r="A17" s="2" t="s">
        <v>41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ht="17" x14ac:dyDescent="0.2">
      <c r="A18" s="4" t="s">
        <v>42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t="51" x14ac:dyDescent="0.2">
      <c r="A19" s="2" t="s">
        <v>43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t="51" x14ac:dyDescent="0.2">
      <c r="A20" s="4" t="s">
        <v>44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t="51" x14ac:dyDescent="0.2">
      <c r="A21" s="2" t="s">
        <v>45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t="85" x14ac:dyDescent="0.2">
      <c r="A22" s="4" t="s">
        <v>140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t="51" x14ac:dyDescent="0.2">
      <c r="A23" s="2" t="s">
        <v>141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t="34" x14ac:dyDescent="0.2">
      <c r="A24" s="4" t="s">
        <v>46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t="34" x14ac:dyDescent="0.2">
      <c r="A25" s="2" t="s">
        <v>48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t="34" x14ac:dyDescent="0.2">
      <c r="A26" s="4" t="s">
        <v>47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t="17" x14ac:dyDescent="0.2">
      <c r="A27" s="2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t="17" x14ac:dyDescent="0.2">
      <c r="A28" s="4" t="s">
        <v>50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t="51" x14ac:dyDescent="0.2">
      <c r="A29" s="2" t="s">
        <v>51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t="34" x14ac:dyDescent="0.2">
      <c r="A30" s="4" t="s">
        <v>52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t="34" x14ac:dyDescent="0.2">
      <c r="A31" s="2" t="s">
        <v>53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t="17" x14ac:dyDescent="0.2">
      <c r="A32" s="4" t="s">
        <v>54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t="85" x14ac:dyDescent="0.2">
      <c r="A33" s="2" t="s">
        <v>121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t="17" x14ac:dyDescent="0.2">
      <c r="A34" s="4" t="s">
        <v>55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t="34" x14ac:dyDescent="0.2">
      <c r="A35" s="2" t="s">
        <v>56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t="34" x14ac:dyDescent="0.2">
      <c r="A36" s="4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ht="51" x14ac:dyDescent="0.2">
      <c r="A37" s="2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ht="34" x14ac:dyDescent="0.2">
      <c r="A38" s="4" t="s">
        <v>59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ht="51" x14ac:dyDescent="0.2">
      <c r="A39" s="2" t="s">
        <v>131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ht="51" x14ac:dyDescent="0.2">
      <c r="A40" s="4" t="s">
        <v>60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ht="51" x14ac:dyDescent="0.2">
      <c r="A41" s="2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ht="34" x14ac:dyDescent="0.2">
      <c r="A42" s="4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ht="51" x14ac:dyDescent="0.2">
      <c r="A43" s="2" t="s">
        <v>63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ht="51" x14ac:dyDescent="0.2">
      <c r="A44" s="4" t="s">
        <v>139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ht="51" x14ac:dyDescent="0.2">
      <c r="A45" s="2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ht="34" x14ac:dyDescent="0.2">
      <c r="A46" s="4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ht="34" x14ac:dyDescent="0.2">
      <c r="A47" s="2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ht="34" x14ac:dyDescent="0.2">
      <c r="A48" s="4" t="s">
        <v>67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ht="51" x14ac:dyDescent="0.2">
      <c r="A49" s="2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ht="68" x14ac:dyDescent="0.2">
      <c r="A50" s="4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ht="68" x14ac:dyDescent="0.2">
      <c r="A51" s="2" t="s">
        <v>69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ht="51" x14ac:dyDescent="0.2">
      <c r="A52" s="4" t="s">
        <v>70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ht="17" x14ac:dyDescent="0.2">
      <c r="A53" s="2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ht="17" x14ac:dyDescent="0.2">
      <c r="A54" s="4" t="s">
        <v>72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ht="17" x14ac:dyDescent="0.2">
      <c r="A55" s="2" t="s">
        <v>73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ht="51" x14ac:dyDescent="0.2">
      <c r="A56" s="4" t="s">
        <v>138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ht="51" x14ac:dyDescent="0.2">
      <c r="A57" s="2" t="s">
        <v>74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ht="34" x14ac:dyDescent="0.2">
      <c r="A58" s="4" t="s">
        <v>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ht="17" x14ac:dyDescent="0.2">
      <c r="A59" s="2" t="s">
        <v>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ht="34" x14ac:dyDescent="0.2">
      <c r="A60" s="4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ht="17" x14ac:dyDescent="0.2">
      <c r="A61" s="2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ht="34" x14ac:dyDescent="0.2">
      <c r="A62" s="4" t="s">
        <v>79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ht="51" x14ac:dyDescent="0.2">
      <c r="A63" s="2" t="s">
        <v>110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ht="34" x14ac:dyDescent="0.2">
      <c r="A64" s="4" t="s">
        <v>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ht="34" x14ac:dyDescent="0.2">
      <c r="A65" s="2" t="s">
        <v>108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</row>
    <row r="66" spans="1:27" ht="34" x14ac:dyDescent="0.2">
      <c r="A66" s="4" t="s">
        <v>107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</row>
    <row r="67" spans="1:27" ht="51" x14ac:dyDescent="0.2">
      <c r="A67" s="2" t="s">
        <v>60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</row>
    <row r="68" spans="1:27" ht="17" x14ac:dyDescent="0.2">
      <c r="A68" s="4" t="s">
        <v>103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</row>
    <row r="69" spans="1:27" ht="34" x14ac:dyDescent="0.2">
      <c r="A69" s="2" t="s">
        <v>106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</row>
    <row r="70" spans="1:27" ht="68" x14ac:dyDescent="0.2">
      <c r="A70" s="4" t="s">
        <v>105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</row>
    <row r="71" spans="1:27" ht="51" x14ac:dyDescent="0.2">
      <c r="A71" s="2" t="s">
        <v>104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ht="34" x14ac:dyDescent="0.2">
      <c r="A72" s="4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</row>
    <row r="73" spans="1:27" ht="34" x14ac:dyDescent="0.2">
      <c r="A73" s="2" t="s">
        <v>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</row>
    <row r="74" spans="1:27" ht="51" x14ac:dyDescent="0.2">
      <c r="A74" s="4" t="s">
        <v>136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ht="34" x14ac:dyDescent="0.2">
      <c r="A75" s="2" t="s">
        <v>81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ht="34" x14ac:dyDescent="0.2">
      <c r="A76" s="4" t="s">
        <v>123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ht="85" x14ac:dyDescent="0.2">
      <c r="A77" s="2" t="s">
        <v>111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</row>
    <row r="78" spans="1:27" ht="51" x14ac:dyDescent="0.2">
      <c r="A78" s="4" t="s">
        <v>124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ht="34" x14ac:dyDescent="0.2">
      <c r="A79" s="2" t="s">
        <v>134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ht="51" x14ac:dyDescent="0.2">
      <c r="A80" s="4" t="s">
        <v>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ht="68" x14ac:dyDescent="0.2">
      <c r="A81" s="2" t="s">
        <v>132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ht="51" x14ac:dyDescent="0.2">
      <c r="A82" s="4" t="s">
        <v>83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ht="34" x14ac:dyDescent="0.2">
      <c r="A83" s="2" t="s">
        <v>84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ht="51" x14ac:dyDescent="0.2">
      <c r="A84" s="4" t="s">
        <v>85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ht="51" x14ac:dyDescent="0.2">
      <c r="A85" s="4" t="s">
        <v>125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ht="34" x14ac:dyDescent="0.2">
      <c r="A86" s="2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ht="34" x14ac:dyDescent="0.2">
      <c r="A87" s="4" t="s">
        <v>126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ht="34" x14ac:dyDescent="0.2">
      <c r="A88" s="2" t="s">
        <v>112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ht="34" x14ac:dyDescent="0.2">
      <c r="A89" s="4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ht="17" x14ac:dyDescent="0.2">
      <c r="A90" s="2" t="s">
        <v>88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ht="17" x14ac:dyDescent="0.2">
      <c r="A91" s="4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ht="34" x14ac:dyDescent="0.2">
      <c r="A92" s="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ht="17" x14ac:dyDescent="0.2">
      <c r="A93" s="4" t="s">
        <v>91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</row>
    <row r="94" spans="1:27" ht="17" x14ac:dyDescent="0.2">
      <c r="A94" s="2" t="s">
        <v>92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ht="17" x14ac:dyDescent="0.2">
      <c r="A95" s="4" t="s">
        <v>93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ht="34" x14ac:dyDescent="0.2">
      <c r="A96" s="2" t="s">
        <v>129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ht="85" x14ac:dyDescent="0.2">
      <c r="A97" s="2" t="s">
        <v>130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ht="51" x14ac:dyDescent="0.2">
      <c r="A98" s="4" t="s">
        <v>113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ht="51" x14ac:dyDescent="0.2">
      <c r="A99" s="2" t="s">
        <v>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ht="34" x14ac:dyDescent="0.2">
      <c r="A100" s="4" t="s">
        <v>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ht="34" x14ac:dyDescent="0.2">
      <c r="A101" s="2" t="s">
        <v>94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ht="34" x14ac:dyDescent="0.2">
      <c r="A102" s="4" t="s">
        <v>128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ht="17" x14ac:dyDescent="0.2">
      <c r="A103" s="2" t="s">
        <v>95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ht="51" x14ac:dyDescent="0.2">
      <c r="A104" s="4" t="s">
        <v>127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ht="34" x14ac:dyDescent="0.2">
      <c r="A105" s="2" t="s">
        <v>96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ht="34" x14ac:dyDescent="0.2">
      <c r="A106" s="4" t="s">
        <v>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ht="68" x14ac:dyDescent="0.2">
      <c r="A107" s="2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ht="34" x14ac:dyDescent="0.2">
      <c r="A108" s="4" t="s">
        <v>135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ht="34" x14ac:dyDescent="0.2">
      <c r="A109" s="2" t="s">
        <v>116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ht="17" x14ac:dyDescent="0.2">
      <c r="A110" s="4" t="s">
        <v>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ht="17" x14ac:dyDescent="0.2">
      <c r="A111" s="2" t="s">
        <v>99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ht="17" x14ac:dyDescent="0.2">
      <c r="A112" s="4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ht="34" x14ac:dyDescent="0.2">
      <c r="A113" s="2" t="s">
        <v>100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</row>
    <row r="114" spans="1:27" ht="51" x14ac:dyDescent="0.2">
      <c r="A114" s="4" t="s">
        <v>101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</row>
    <row r="115" spans="1:27" ht="68" x14ac:dyDescent="0.2">
      <c r="A115" s="2" t="s">
        <v>102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ht="34" x14ac:dyDescent="0.2">
      <c r="A116" s="4" t="s">
        <v>118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BERT</vt:lpstr>
      <vt:lpstr>Exp1-COT</vt:lpstr>
      <vt:lpstr>Exp2-COT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Tano</dc:creator>
  <cp:lastModifiedBy>Marie Tano</cp:lastModifiedBy>
  <dcterms:created xsi:type="dcterms:W3CDTF">2025-11-22T22:09:04Z</dcterms:created>
  <dcterms:modified xsi:type="dcterms:W3CDTF">2025-12-08T02:56:26Z</dcterms:modified>
</cp:coreProperties>
</file>